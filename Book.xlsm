
<file path=[Content_Types].xml><?xml version="1.0" encoding="utf-8"?>
<Types xmlns="http://schemas.openxmlformats.org/package/2006/content-types">
  <Default Extension="tmp" ContentType="image/png"/>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7.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drawings/drawing11.xml" ContentType="application/vnd.openxmlformats-officedocument.drawing+xml"/>
  <Override PartName="/xl/slicers/slicer1.xml" ContentType="application/vnd.ms-excel.slicer+xml"/>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tables/table13.xml" ContentType="application/vnd.openxmlformats-officedocument.spreadsheetml.table+xml"/>
  <Override PartName="/xl/drawings/drawing13.xml" ContentType="application/vnd.openxmlformats-officedocument.drawing+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Admin\Desktop\ATANU.FOLDER\"/>
    </mc:Choice>
  </mc:AlternateContent>
  <xr:revisionPtr revIDLastSave="0" documentId="13_ncr:1_{4BC02CE4-0BA2-42C6-BA13-45A1B223B9AC}" xr6:coauthVersionLast="36" xr6:coauthVersionMax="36" xr10:uidLastSave="{00000000-0000-0000-0000-000000000000}"/>
  <bookViews>
    <workbookView xWindow="0" yWindow="10800" windowWidth="20445" windowHeight="6975" firstSheet="14" activeTab="22" xr2:uid="{908AAC55-1827-468F-B80D-CEDFC092BC85}"/>
  </bookViews>
  <sheets>
    <sheet name="Sheet1" sheetId="1" r:id="rId1"/>
    <sheet name="Sheet2" sheetId="2" r:id="rId2"/>
    <sheet name="Sheet3" sheetId="3" r:id="rId3"/>
    <sheet name="Sheet4" sheetId="4" r:id="rId4"/>
    <sheet name="Sheet5" sheetId="5" r:id="rId5"/>
    <sheet name="Sheet6" sheetId="6" r:id="rId6"/>
    <sheet name="Sheet7" sheetId="7" r:id="rId7"/>
    <sheet name="DATA ENTRY FORM" sheetId="10" r:id="rId8"/>
    <sheet name="DATABASE" sheetId="11" r:id="rId9"/>
    <sheet name="BATTERY PERCENTAGE" sheetId="14" r:id="rId10"/>
    <sheet name="Sheet8" sheetId="8" r:id="rId11"/>
    <sheet name="Sheet9" sheetId="9" r:id="rId12"/>
    <sheet name="Sheet10" sheetId="12" r:id="rId13"/>
    <sheet name="Bill Entry Form" sheetId="13" r:id="rId14"/>
    <sheet name="Sheet12" sheetId="16" r:id="rId15"/>
    <sheet name="Sheet17" sheetId="21" r:id="rId16"/>
    <sheet name="Sheet16" sheetId="20" r:id="rId17"/>
    <sheet name="Sheet15" sheetId="19" r:id="rId18"/>
    <sheet name="Sheet14" sheetId="18" r:id="rId19"/>
    <sheet name="Sheet18" sheetId="22" r:id="rId20"/>
    <sheet name="Sheet13" sheetId="17" r:id="rId21"/>
    <sheet name="Sheet11" sheetId="15" r:id="rId22"/>
    <sheet name="Sheet19" sheetId="23" r:id="rId23"/>
  </sheets>
  <definedNames>
    <definedName name="_xlcn.WorksheetConnection_Book.xlsmcustomer_data1" hidden="1">customer_data[]</definedName>
    <definedName name="_xlcn.WorksheetConnection_Book.xlsmSales_Data1" hidden="1">Sales_Data[]</definedName>
    <definedName name="Customer_ID">Sheet17!$F$4:$F$8</definedName>
    <definedName name="Customer_Name">Sheet17!$E$4:$E$8</definedName>
    <definedName name="ExternalData_1" localSheetId="0" hidden="1">Sheet1!$I$7:$I$20</definedName>
    <definedName name="Location">Sheet12!$M$2:$M$6</definedName>
    <definedName name="Slicer_Customer_Name">#N/A</definedName>
    <definedName name="Slicer_Product">#N/A</definedName>
    <definedName name="Slicer_Year">#N/A</definedName>
  </definedNames>
  <calcPr calcId="191029"/>
  <pivotCaches>
    <pivotCache cacheId="0" r:id="rId24"/>
  </pivotCaches>
  <extLst>
    <ext xmlns:x14="http://schemas.microsoft.com/office/spreadsheetml/2009/9/main" uri="{876F7934-8845-4945-9796-88D515C7AA90}">
      <x14:pivotCaches>
        <pivotCache cacheId="1"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_data" name="customer_data" connection="WorksheetConnection_Book.xlsm!customer_data"/>
          <x15:modelTable id="Sales_Data" name="Sales_Data" connection="WorksheetConnection_Book.xlsm!Sales_Data"/>
        </x15:modelTables>
        <x15:modelRelationships>
          <x15:modelRelationship fromTable="Sales_Data" fromColumn="Customer ID" toTable="customer_data" toColumn="Customer ID"/>
        </x15:modelRelationships>
      </x15:dataModel>
    </ext>
  </extLst>
</workbook>
</file>

<file path=xl/calcChain.xml><?xml version="1.0" encoding="utf-8"?>
<calcChain xmlns="http://schemas.openxmlformats.org/spreadsheetml/2006/main">
  <c r="G37" i="15" l="1"/>
  <c r="K32" i="15"/>
  <c r="O24" i="15"/>
  <c r="N24" i="15"/>
  <c r="D41" i="15"/>
  <c r="E41" i="15"/>
  <c r="F41" i="15"/>
  <c r="G41" i="15"/>
  <c r="H41" i="15"/>
  <c r="I41" i="15"/>
  <c r="J41" i="15"/>
  <c r="K41" i="15"/>
  <c r="L41" i="15"/>
  <c r="M41" i="15"/>
  <c r="N41" i="15"/>
  <c r="O41" i="15"/>
  <c r="D42" i="15"/>
  <c r="E42" i="15"/>
  <c r="F42" i="15"/>
  <c r="G42" i="15"/>
  <c r="H42" i="15"/>
  <c r="I42" i="15"/>
  <c r="J42" i="15"/>
  <c r="K42" i="15"/>
  <c r="L42" i="15"/>
  <c r="M42" i="15"/>
  <c r="N42" i="15"/>
  <c r="O42" i="15"/>
  <c r="D43" i="15"/>
  <c r="E43" i="15"/>
  <c r="F43" i="15"/>
  <c r="G43" i="15"/>
  <c r="H43" i="15"/>
  <c r="I43" i="15"/>
  <c r="J43" i="15"/>
  <c r="K43" i="15"/>
  <c r="L43" i="15"/>
  <c r="M43" i="15"/>
  <c r="N43" i="15"/>
  <c r="O43" i="15"/>
  <c r="D44" i="15"/>
  <c r="E44" i="15"/>
  <c r="F44" i="15"/>
  <c r="G44" i="15"/>
  <c r="H44" i="15"/>
  <c r="I44" i="15"/>
  <c r="J44" i="15"/>
  <c r="K44" i="15"/>
  <c r="L44" i="15"/>
  <c r="M44" i="15"/>
  <c r="N44" i="15"/>
  <c r="O44" i="15"/>
  <c r="D45" i="15"/>
  <c r="E45" i="15"/>
  <c r="F45" i="15"/>
  <c r="G45" i="15"/>
  <c r="H45" i="15"/>
  <c r="I45" i="15"/>
  <c r="J45" i="15"/>
  <c r="K45" i="15"/>
  <c r="L45" i="15"/>
  <c r="M45" i="15"/>
  <c r="N45" i="15"/>
  <c r="O45" i="15"/>
  <c r="D46" i="15"/>
  <c r="E46" i="15"/>
  <c r="F46" i="15"/>
  <c r="G46" i="15"/>
  <c r="H46" i="15"/>
  <c r="I46" i="15"/>
  <c r="J46" i="15"/>
  <c r="K46" i="15"/>
  <c r="L46" i="15"/>
  <c r="M46" i="15"/>
  <c r="N46" i="15"/>
  <c r="O46" i="15"/>
  <c r="D47" i="15"/>
  <c r="E47" i="15"/>
  <c r="F47" i="15"/>
  <c r="G47" i="15"/>
  <c r="H47" i="15"/>
  <c r="I47" i="15"/>
  <c r="J47" i="15"/>
  <c r="K47" i="15"/>
  <c r="L47" i="15"/>
  <c r="M47" i="15"/>
  <c r="N47" i="15"/>
  <c r="O47" i="15"/>
  <c r="D48" i="15"/>
  <c r="E48" i="15"/>
  <c r="F48" i="15"/>
  <c r="G48" i="15"/>
  <c r="H48" i="15"/>
  <c r="I48" i="15"/>
  <c r="J48" i="15"/>
  <c r="K48" i="15"/>
  <c r="L48" i="15"/>
  <c r="M48" i="15"/>
  <c r="N48" i="15"/>
  <c r="O48" i="15"/>
  <c r="D49" i="15"/>
  <c r="E49" i="15"/>
  <c r="F49" i="15"/>
  <c r="G49" i="15"/>
  <c r="H49" i="15"/>
  <c r="I49" i="15"/>
  <c r="J49" i="15"/>
  <c r="K49" i="15"/>
  <c r="L49" i="15"/>
  <c r="M49" i="15"/>
  <c r="N49" i="15"/>
  <c r="O49" i="15"/>
  <c r="D50" i="15"/>
  <c r="E50" i="15"/>
  <c r="F50" i="15"/>
  <c r="G50" i="15"/>
  <c r="H50" i="15"/>
  <c r="I50" i="15"/>
  <c r="J50" i="15"/>
  <c r="K50" i="15"/>
  <c r="L50" i="15"/>
  <c r="M50" i="15"/>
  <c r="N50" i="15"/>
  <c r="O50" i="15"/>
  <c r="D51" i="15"/>
  <c r="E51" i="15"/>
  <c r="F51" i="15"/>
  <c r="G51" i="15"/>
  <c r="H51" i="15"/>
  <c r="I51" i="15"/>
  <c r="J51" i="15"/>
  <c r="K51" i="15"/>
  <c r="L51" i="15"/>
  <c r="M51" i="15"/>
  <c r="N51" i="15"/>
  <c r="O51" i="15"/>
  <c r="K28" i="15"/>
  <c r="L28" i="15" s="1"/>
  <c r="G36" i="15"/>
  <c r="G35" i="15"/>
  <c r="G34" i="15"/>
  <c r="J24" i="15"/>
  <c r="K24" i="15" s="1"/>
  <c r="K23" i="15"/>
  <c r="J23" i="15"/>
  <c r="G24" i="15"/>
  <c r="G25" i="15"/>
  <c r="G26" i="15"/>
  <c r="G27" i="15"/>
  <c r="G28" i="15"/>
  <c r="G29" i="15"/>
  <c r="G30" i="15"/>
  <c r="G31" i="15"/>
  <c r="G32" i="15"/>
  <c r="G33" i="15"/>
  <c r="J15" i="15"/>
  <c r="G15" i="15"/>
  <c r="R41" i="15" l="1"/>
  <c r="R40" i="15" a="1"/>
  <c r="R40" i="15" s="1"/>
  <c r="L32" i="15" a="1"/>
  <c r="L32" i="15" s="1"/>
  <c r="D1" i="22"/>
  <c r="E1" i="22"/>
  <c r="F1" i="22"/>
  <c r="G1" i="22"/>
  <c r="H1" i="22"/>
  <c r="C1" i="22"/>
  <c r="C2" i="22"/>
  <c r="F2" i="22"/>
  <c r="C3" i="22"/>
  <c r="G3" i="22"/>
  <c r="E4" i="22"/>
  <c r="F4" i="22"/>
  <c r="E3" i="22"/>
  <c r="C4" i="22"/>
  <c r="F3" i="22"/>
  <c r="D4" i="22"/>
  <c r="D3" i="22"/>
  <c r="H3" i="22"/>
  <c r="G4" i="22"/>
  <c r="H4" i="22"/>
  <c r="D2" i="22"/>
  <c r="H2" i="22"/>
  <c r="E2" i="22"/>
  <c r="G2" i="22"/>
  <c r="I3" i="16" l="1" a="1"/>
  <c r="I3" i="16" s="1"/>
  <c r="F13" i="12"/>
  <c r="E25" i="13" l="1"/>
  <c r="G25" i="13" s="1"/>
  <c r="H25" i="13" s="1"/>
  <c r="E23" i="13"/>
  <c r="G23" i="13" s="1"/>
  <c r="H23" i="13" s="1"/>
  <c r="E15" i="13"/>
  <c r="G15" i="13" s="1"/>
  <c r="H15" i="13" s="1"/>
  <c r="E6" i="14" l="1"/>
  <c r="I4" i="14" s="1"/>
  <c r="I5" i="14" s="1"/>
  <c r="E5" i="13" l="1"/>
  <c r="G5" i="13" s="1"/>
  <c r="H5" i="13" s="1"/>
  <c r="E22" i="13"/>
  <c r="G22" i="13" s="1"/>
  <c r="H22" i="13" s="1"/>
  <c r="E21" i="13"/>
  <c r="G21" i="13" s="1"/>
  <c r="H21" i="13" s="1"/>
  <c r="E20" i="13"/>
  <c r="G20" i="13" s="1"/>
  <c r="H20" i="13" s="1"/>
  <c r="E6" i="13"/>
  <c r="G6" i="13" s="1"/>
  <c r="H6" i="13" s="1"/>
  <c r="E7" i="13"/>
  <c r="G7" i="13" s="1"/>
  <c r="H7" i="13" s="1"/>
  <c r="E8" i="13"/>
  <c r="G8" i="13" s="1"/>
  <c r="H8" i="13" s="1"/>
  <c r="E9" i="13"/>
  <c r="G9" i="13" s="1"/>
  <c r="H9" i="13" s="1"/>
  <c r="E10" i="13"/>
  <c r="G10" i="13" s="1"/>
  <c r="H10" i="13" s="1"/>
  <c r="E11" i="13"/>
  <c r="G11" i="13" s="1"/>
  <c r="H11" i="13" s="1"/>
  <c r="E12" i="13"/>
  <c r="G12" i="13" s="1"/>
  <c r="H12" i="13" s="1"/>
  <c r="E13" i="13"/>
  <c r="G13" i="13" s="1"/>
  <c r="H13" i="13" s="1"/>
  <c r="E14" i="13"/>
  <c r="G14" i="13" s="1"/>
  <c r="H14" i="13" s="1"/>
  <c r="E16" i="13"/>
  <c r="G16" i="13" s="1"/>
  <c r="H16" i="13" s="1"/>
  <c r="E17" i="13"/>
  <c r="G17" i="13" s="1"/>
  <c r="H17" i="13" s="1"/>
  <c r="E18" i="13"/>
  <c r="G18" i="13" s="1"/>
  <c r="H18" i="13" s="1"/>
  <c r="E19" i="13"/>
  <c r="G19" i="13" s="1"/>
  <c r="H19" i="13" s="1"/>
  <c r="E24" i="13"/>
  <c r="M4" i="13" s="1"/>
  <c r="L4" i="13"/>
  <c r="N4" i="13"/>
  <c r="K4" i="13"/>
  <c r="G24" i="13" l="1"/>
  <c r="F12" i="12"/>
  <c r="B13" i="12"/>
  <c r="F5" i="12"/>
  <c r="F6" i="12"/>
  <c r="F7" i="12"/>
  <c r="F8" i="12"/>
  <c r="F9" i="12"/>
  <c r="F10" i="12"/>
  <c r="F11" i="12"/>
  <c r="O4" i="13" l="1"/>
  <c r="H24" i="13"/>
  <c r="P4" i="13" s="1"/>
  <c r="D39" i="10"/>
  <c r="K39" i="10"/>
  <c r="J39" i="10"/>
  <c r="I39" i="10"/>
  <c r="H39" i="10"/>
  <c r="G39" i="10"/>
  <c r="D23" i="10"/>
  <c r="E23" i="10"/>
  <c r="D24" i="10"/>
  <c r="E24" i="10"/>
  <c r="D25" i="10"/>
  <c r="E25" i="10"/>
  <c r="D26" i="10"/>
  <c r="E26" i="10"/>
  <c r="D27" i="10"/>
  <c r="E27" i="10"/>
  <c r="D28" i="10"/>
  <c r="E28" i="10"/>
  <c r="D29" i="10"/>
  <c r="E29" i="10"/>
  <c r="D30" i="10"/>
  <c r="E30" i="10"/>
  <c r="D31" i="10"/>
  <c r="E31" i="10"/>
  <c r="D32" i="10"/>
  <c r="E32" i="10"/>
  <c r="E22" i="10"/>
  <c r="D22" i="10"/>
  <c r="E21" i="10"/>
  <c r="D21" i="10"/>
  <c r="I9" i="10"/>
  <c r="I10" i="10"/>
  <c r="I11" i="10"/>
  <c r="I12" i="10"/>
  <c r="I13" i="10"/>
  <c r="I14" i="10"/>
  <c r="I15" i="10"/>
  <c r="I16" i="10"/>
  <c r="I17" i="10"/>
  <c r="I18" i="10"/>
  <c r="I19" i="10"/>
  <c r="H9" i="7"/>
  <c r="H8" i="9" l="1"/>
  <c r="H9" i="9"/>
  <c r="H10" i="9"/>
  <c r="H11" i="9"/>
  <c r="H12" i="9"/>
  <c r="H13" i="9"/>
  <c r="H14" i="9"/>
  <c r="H15" i="9"/>
  <c r="H16" i="9"/>
  <c r="H17" i="9"/>
  <c r="H18" i="9"/>
  <c r="D3" i="7" l="1"/>
  <c r="C19" i="7"/>
  <c r="C10" i="7"/>
  <c r="C11" i="7"/>
  <c r="C12" i="7"/>
  <c r="C13" i="7"/>
  <c r="C14" i="7"/>
  <c r="C15" i="7"/>
  <c r="C16" i="7"/>
  <c r="C17" i="7"/>
  <c r="C18" i="7"/>
  <c r="C9" i="7"/>
  <c r="H8" i="7"/>
  <c r="H6" i="7" s="1"/>
  <c r="G9" i="7"/>
  <c r="F10" i="7" s="1"/>
  <c r="G10" i="7" s="1"/>
  <c r="F11" i="7" s="1"/>
  <c r="G11" i="7" s="1"/>
  <c r="F12" i="7" s="1"/>
  <c r="G12" i="7" s="1"/>
  <c r="F13" i="7" s="1"/>
  <c r="G13" i="7" s="1"/>
  <c r="F14" i="7" s="1"/>
  <c r="G14" i="7" s="1"/>
  <c r="F15" i="7" s="1"/>
  <c r="G15" i="7" s="1"/>
  <c r="F16" i="7" s="1"/>
  <c r="G16" i="7" s="1"/>
  <c r="F17" i="7" s="1"/>
  <c r="G17" i="7" s="1"/>
  <c r="F18" i="7" s="1"/>
  <c r="G18" i="7" s="1"/>
  <c r="F19" i="7" s="1"/>
  <c r="G19" i="7" s="1"/>
  <c r="F6" i="6"/>
  <c r="E7" i="6" s="1"/>
  <c r="F7" i="6" s="1"/>
  <c r="E8" i="6" s="1"/>
  <c r="F8" i="6" s="1"/>
  <c r="E9" i="6" s="1"/>
  <c r="C3" i="6"/>
  <c r="I8" i="7" l="1"/>
  <c r="J8" i="7" s="1"/>
  <c r="F3" i="7"/>
  <c r="J19" i="7"/>
  <c r="J10" i="7"/>
  <c r="J11" i="7"/>
  <c r="J12" i="7"/>
  <c r="J13" i="7"/>
  <c r="J14" i="7"/>
  <c r="J15" i="7"/>
  <c r="J16" i="7"/>
  <c r="J17" i="7"/>
  <c r="J18" i="7"/>
  <c r="K8" i="7"/>
  <c r="J7" i="7"/>
  <c r="J9" i="7"/>
  <c r="E3" i="7"/>
  <c r="I7" i="7"/>
  <c r="H7" i="7"/>
  <c r="I19" i="7"/>
  <c r="I10" i="7"/>
  <c r="I11" i="7"/>
  <c r="I12" i="7"/>
  <c r="I13" i="7"/>
  <c r="I14" i="7"/>
  <c r="I15" i="7"/>
  <c r="I16" i="7"/>
  <c r="I17" i="7"/>
  <c r="I18" i="7"/>
  <c r="I9" i="7"/>
  <c r="H19" i="7"/>
  <c r="H10" i="7"/>
  <c r="H11" i="7"/>
  <c r="H12" i="7"/>
  <c r="H13" i="7"/>
  <c r="H14" i="7"/>
  <c r="H15" i="7"/>
  <c r="H16" i="7"/>
  <c r="H17" i="7"/>
  <c r="H18" i="7"/>
  <c r="F9" i="6"/>
  <c r="F12" i="4"/>
  <c r="F8" i="4"/>
  <c r="F5" i="4"/>
  <c r="F6" i="4"/>
  <c r="F7" i="4"/>
  <c r="F9" i="4"/>
  <c r="F10" i="4"/>
  <c r="F11" i="4"/>
  <c r="F4" i="4"/>
  <c r="E16" i="5"/>
  <c r="F16" i="5" s="1"/>
  <c r="G16" i="5" s="1"/>
  <c r="E14" i="5"/>
  <c r="F14" i="5" s="1"/>
  <c r="G14" i="5" s="1"/>
  <c r="E15" i="5"/>
  <c r="F15" i="5" s="1"/>
  <c r="G15" i="5" s="1"/>
  <c r="L8" i="7" l="1"/>
  <c r="K19" i="7"/>
  <c r="K7" i="7"/>
  <c r="K10" i="7"/>
  <c r="K11" i="7"/>
  <c r="K12" i="7"/>
  <c r="K13" i="7"/>
  <c r="K14" i="7"/>
  <c r="K15" i="7"/>
  <c r="K16" i="7"/>
  <c r="K17" i="7"/>
  <c r="K18" i="7"/>
  <c r="K9" i="7"/>
  <c r="E10" i="6"/>
  <c r="E2" i="5"/>
  <c r="F2" i="5" s="1"/>
  <c r="G2" i="5" s="1"/>
  <c r="E3" i="5"/>
  <c r="F3" i="5" s="1"/>
  <c r="G3" i="5" s="1"/>
  <c r="E4" i="5"/>
  <c r="F4" i="5" s="1"/>
  <c r="G4" i="5" s="1"/>
  <c r="E5" i="5"/>
  <c r="F5" i="5" s="1"/>
  <c r="G5" i="5" s="1"/>
  <c r="E6" i="5"/>
  <c r="F6" i="5" s="1"/>
  <c r="G6" i="5" s="1"/>
  <c r="E7" i="5"/>
  <c r="F7" i="5" s="1"/>
  <c r="G7" i="5" s="1"/>
  <c r="E8" i="5"/>
  <c r="F8" i="5" s="1"/>
  <c r="G8" i="5" s="1"/>
  <c r="E9" i="5"/>
  <c r="F9" i="5" s="1"/>
  <c r="G9" i="5" s="1"/>
  <c r="E10" i="5"/>
  <c r="F10" i="5" s="1"/>
  <c r="G10" i="5" s="1"/>
  <c r="E11" i="5"/>
  <c r="F11" i="5" s="1"/>
  <c r="G11" i="5" s="1"/>
  <c r="E12" i="5"/>
  <c r="F12" i="5" s="1"/>
  <c r="G12" i="5" s="1"/>
  <c r="E13" i="5"/>
  <c r="F13" i="5" s="1"/>
  <c r="G13" i="5" s="1"/>
  <c r="M8" i="7" l="1"/>
  <c r="L19" i="7"/>
  <c r="L10" i="7"/>
  <c r="L11" i="7"/>
  <c r="L12" i="7"/>
  <c r="L13" i="7"/>
  <c r="L14" i="7"/>
  <c r="L15" i="7"/>
  <c r="L16" i="7"/>
  <c r="L17" i="7"/>
  <c r="L18" i="7"/>
  <c r="L9" i="7"/>
  <c r="L7" i="7"/>
  <c r="F10" i="6"/>
  <c r="D3" i="2"/>
  <c r="D2" i="2"/>
  <c r="D4" i="2"/>
  <c r="D5" i="2"/>
  <c r="D6" i="2"/>
  <c r="D1" i="2"/>
  <c r="C2" i="2"/>
  <c r="C3" i="2"/>
  <c r="C4" i="2"/>
  <c r="C5" i="2"/>
  <c r="C6" i="2"/>
  <c r="B2" i="2"/>
  <c r="B3" i="2"/>
  <c r="B4" i="2"/>
  <c r="B5" i="2"/>
  <c r="B6" i="2"/>
  <c r="C1" i="2"/>
  <c r="B1" i="2"/>
  <c r="N8" i="7" l="1"/>
  <c r="M19" i="7"/>
  <c r="M10" i="7"/>
  <c r="M11" i="7"/>
  <c r="M12" i="7"/>
  <c r="M13" i="7"/>
  <c r="M14" i="7"/>
  <c r="M15" i="7"/>
  <c r="M16" i="7"/>
  <c r="M17" i="7"/>
  <c r="M18" i="7"/>
  <c r="M9" i="7"/>
  <c r="M7" i="7"/>
  <c r="E11" i="6"/>
  <c r="J8" i="1"/>
  <c r="J9" i="1"/>
  <c r="J10" i="1"/>
  <c r="J11" i="1"/>
  <c r="J12" i="1"/>
  <c r="J13" i="1"/>
  <c r="J14" i="1"/>
  <c r="J15" i="1"/>
  <c r="J16" i="1"/>
  <c r="J17" i="1"/>
  <c r="J18" i="1"/>
  <c r="J19" i="1"/>
  <c r="J20" i="1"/>
  <c r="L8" i="1"/>
  <c r="L9" i="1"/>
  <c r="K9" i="1" s="1"/>
  <c r="L10" i="1"/>
  <c r="L11" i="1"/>
  <c r="L12" i="1"/>
  <c r="L13" i="1"/>
  <c r="K13" i="1" s="1"/>
  <c r="L14" i="1"/>
  <c r="L15" i="1"/>
  <c r="L16" i="1"/>
  <c r="L17" i="1"/>
  <c r="K17" i="1" s="1"/>
  <c r="L18" i="1"/>
  <c r="K18" i="1" s="1"/>
  <c r="L19" i="1"/>
  <c r="L20" i="1"/>
  <c r="M8" i="1"/>
  <c r="M9" i="1"/>
  <c r="M10" i="1"/>
  <c r="N10" i="1" s="1"/>
  <c r="M11" i="1"/>
  <c r="N11" i="1" s="1"/>
  <c r="M12" i="1"/>
  <c r="M13" i="1"/>
  <c r="M14" i="1"/>
  <c r="N14" i="1" s="1"/>
  <c r="M15" i="1"/>
  <c r="M16" i="1"/>
  <c r="M17" i="1"/>
  <c r="M18" i="1"/>
  <c r="N18" i="1" s="1"/>
  <c r="M19" i="1"/>
  <c r="N19" i="1" s="1"/>
  <c r="M20" i="1"/>
  <c r="O8" i="7" l="1"/>
  <c r="N19" i="7"/>
  <c r="N10" i="7"/>
  <c r="N11" i="7"/>
  <c r="N12" i="7"/>
  <c r="N13" i="7"/>
  <c r="N14" i="7"/>
  <c r="N15" i="7"/>
  <c r="N16" i="7"/>
  <c r="N17" i="7"/>
  <c r="N18" i="7"/>
  <c r="N9" i="7"/>
  <c r="N7" i="7"/>
  <c r="F11" i="6"/>
  <c r="K19" i="1"/>
  <c r="K15" i="1"/>
  <c r="K11" i="1"/>
  <c r="K14" i="1"/>
  <c r="K10" i="1"/>
  <c r="N15" i="1"/>
  <c r="N20" i="1"/>
  <c r="N16" i="1"/>
  <c r="N12" i="1"/>
  <c r="N8" i="1"/>
  <c r="N17" i="1"/>
  <c r="N13" i="1"/>
  <c r="N9" i="1"/>
  <c r="K20" i="1"/>
  <c r="K16" i="1"/>
  <c r="K12" i="1"/>
  <c r="K8" i="1"/>
  <c r="J21" i="1"/>
  <c r="M21" i="1"/>
  <c r="L21" i="1"/>
  <c r="P8" i="7" l="1"/>
  <c r="O19" i="7"/>
  <c r="O10" i="7"/>
  <c r="O11" i="7"/>
  <c r="O12" i="7"/>
  <c r="O13" i="7"/>
  <c r="O14" i="7"/>
  <c r="O15" i="7"/>
  <c r="O16" i="7"/>
  <c r="O17" i="7"/>
  <c r="O18" i="7"/>
  <c r="O7" i="7"/>
  <c r="O9" i="7"/>
  <c r="E12" i="6"/>
  <c r="J5" i="1"/>
  <c r="N21" i="1"/>
  <c r="K21" i="1"/>
  <c r="Q8" i="7" l="1"/>
  <c r="P19" i="7"/>
  <c r="P10" i="7"/>
  <c r="P11" i="7"/>
  <c r="P12" i="7"/>
  <c r="P13" i="7"/>
  <c r="P14" i="7"/>
  <c r="P15" i="7"/>
  <c r="P16" i="7"/>
  <c r="P17" i="7"/>
  <c r="P18" i="7"/>
  <c r="P9" i="7"/>
  <c r="P7" i="7"/>
  <c r="F12" i="6"/>
  <c r="R8" i="7" l="1"/>
  <c r="Q19" i="7"/>
  <c r="Q10" i="7"/>
  <c r="Q11" i="7"/>
  <c r="Q12" i="7"/>
  <c r="Q13" i="7"/>
  <c r="Q14" i="7"/>
  <c r="Q15" i="7"/>
  <c r="Q16" i="7"/>
  <c r="Q17" i="7"/>
  <c r="Q18" i="7"/>
  <c r="Q9" i="7"/>
  <c r="Q7" i="7"/>
  <c r="E13" i="6"/>
  <c r="S8" i="7" l="1"/>
  <c r="R19" i="7"/>
  <c r="R10" i="7"/>
  <c r="R11" i="7"/>
  <c r="R12" i="7"/>
  <c r="R13" i="7"/>
  <c r="R14" i="7"/>
  <c r="R15" i="7"/>
  <c r="R16" i="7"/>
  <c r="R17" i="7"/>
  <c r="R18" i="7"/>
  <c r="R9" i="7"/>
  <c r="R7" i="7"/>
  <c r="F13" i="6"/>
  <c r="T8" i="7" l="1"/>
  <c r="S7" i="7"/>
  <c r="S19" i="7"/>
  <c r="S10" i="7"/>
  <c r="S11" i="7"/>
  <c r="S12" i="7"/>
  <c r="S13" i="7"/>
  <c r="S14" i="7"/>
  <c r="S15" i="7"/>
  <c r="S16" i="7"/>
  <c r="S17" i="7"/>
  <c r="S18" i="7"/>
  <c r="S9" i="7"/>
  <c r="E14" i="6"/>
  <c r="F14" i="6" s="1"/>
  <c r="E15" i="6" s="1"/>
  <c r="U8" i="7" l="1"/>
  <c r="T19" i="7"/>
  <c r="T10" i="7"/>
  <c r="T11" i="7"/>
  <c r="T12" i="7"/>
  <c r="T13" i="7"/>
  <c r="T14" i="7"/>
  <c r="T15" i="7"/>
  <c r="T16" i="7"/>
  <c r="T17" i="7"/>
  <c r="T18" i="7"/>
  <c r="T7" i="7"/>
  <c r="T9" i="7"/>
  <c r="F15" i="6"/>
  <c r="E3" i="6" s="1"/>
  <c r="D3" i="6"/>
  <c r="V8" i="7" l="1"/>
  <c r="U19" i="7"/>
  <c r="U10" i="7"/>
  <c r="U11" i="7"/>
  <c r="U12" i="7"/>
  <c r="U13" i="7"/>
  <c r="U14" i="7"/>
  <c r="U15" i="7"/>
  <c r="U16" i="7"/>
  <c r="U17" i="7"/>
  <c r="U18" i="7"/>
  <c r="U9" i="7"/>
  <c r="U7" i="7"/>
  <c r="W8" i="7" l="1"/>
  <c r="V19" i="7"/>
  <c r="V10" i="7"/>
  <c r="V11" i="7"/>
  <c r="V12" i="7"/>
  <c r="V13" i="7"/>
  <c r="V14" i="7"/>
  <c r="V15" i="7"/>
  <c r="V16" i="7"/>
  <c r="V17" i="7"/>
  <c r="V18" i="7"/>
  <c r="V7" i="7"/>
  <c r="V9" i="7"/>
  <c r="X8" i="7" l="1"/>
  <c r="W9" i="7"/>
  <c r="W7" i="7"/>
  <c r="W14" i="7"/>
  <c r="W18" i="7"/>
  <c r="W19" i="7"/>
  <c r="W10" i="7"/>
  <c r="W11" i="7"/>
  <c r="W12" i="7"/>
  <c r="W13" i="7"/>
  <c r="W15" i="7"/>
  <c r="W16" i="7"/>
  <c r="W17" i="7"/>
  <c r="Y8" i="7" l="1"/>
  <c r="X19" i="7"/>
  <c r="X10" i="7"/>
  <c r="X11" i="7"/>
  <c r="X12" i="7"/>
  <c r="X13" i="7"/>
  <c r="X14" i="7"/>
  <c r="X15" i="7"/>
  <c r="X16" i="7"/>
  <c r="X17" i="7"/>
  <c r="X18" i="7"/>
  <c r="X9" i="7"/>
  <c r="X7" i="7"/>
  <c r="Z8" i="7" l="1"/>
  <c r="Y19" i="7"/>
  <c r="Y10" i="7"/>
  <c r="Y11" i="7"/>
  <c r="Y12" i="7"/>
  <c r="Y13" i="7"/>
  <c r="Y14" i="7"/>
  <c r="Y15" i="7"/>
  <c r="Y16" i="7"/>
  <c r="Y17" i="7"/>
  <c r="Y18" i="7"/>
  <c r="Y9" i="7"/>
  <c r="Y7" i="7"/>
  <c r="AA8" i="7" l="1"/>
  <c r="Z19" i="7"/>
  <c r="Z10" i="7"/>
  <c r="Z11" i="7"/>
  <c r="Z12" i="7"/>
  <c r="Z13" i="7"/>
  <c r="Z14" i="7"/>
  <c r="Z15" i="7"/>
  <c r="Z16" i="7"/>
  <c r="Z17" i="7"/>
  <c r="Z18" i="7"/>
  <c r="Z9" i="7"/>
  <c r="Z7" i="7"/>
  <c r="AB8" i="7" l="1"/>
  <c r="AA7" i="7"/>
  <c r="AA19" i="7"/>
  <c r="AA11" i="7"/>
  <c r="AA12" i="7"/>
  <c r="AA13" i="7"/>
  <c r="AA14" i="7"/>
  <c r="AA15" i="7"/>
  <c r="AA16" i="7"/>
  <c r="AA17" i="7"/>
  <c r="AA18" i="7"/>
  <c r="AA9" i="7"/>
  <c r="AA10" i="7"/>
  <c r="AC8" i="7" l="1"/>
  <c r="AB19" i="7"/>
  <c r="AB10" i="7"/>
  <c r="AB11" i="7"/>
  <c r="AB12" i="7"/>
  <c r="AB13" i="7"/>
  <c r="AB14" i="7"/>
  <c r="AB15" i="7"/>
  <c r="AB16" i="7"/>
  <c r="AB17" i="7"/>
  <c r="AB18" i="7"/>
  <c r="AB9" i="7"/>
  <c r="AB7" i="7"/>
  <c r="AD8" i="7" l="1"/>
  <c r="AC19" i="7"/>
  <c r="AC10" i="7"/>
  <c r="AC11" i="7"/>
  <c r="AC12" i="7"/>
  <c r="AC13" i="7"/>
  <c r="AC14" i="7"/>
  <c r="AC15" i="7"/>
  <c r="AC16" i="7"/>
  <c r="AC17" i="7"/>
  <c r="AC18" i="7"/>
  <c r="AC9" i="7"/>
  <c r="AC7" i="7"/>
  <c r="AE8" i="7" l="1"/>
  <c r="AD19" i="7"/>
  <c r="AD10" i="7"/>
  <c r="AD11" i="7"/>
  <c r="AD12" i="7"/>
  <c r="AD13" i="7"/>
  <c r="AD14" i="7"/>
  <c r="AD15" i="7"/>
  <c r="AD16" i="7"/>
  <c r="AD17" i="7"/>
  <c r="AD18" i="7"/>
  <c r="AD7" i="7"/>
  <c r="AD9" i="7"/>
  <c r="AF8" i="7" l="1"/>
  <c r="AE19" i="7"/>
  <c r="AE10" i="7"/>
  <c r="AE11" i="7"/>
  <c r="AE12" i="7"/>
  <c r="AE13" i="7"/>
  <c r="AE14" i="7"/>
  <c r="AE15" i="7"/>
  <c r="AE16" i="7"/>
  <c r="AE17" i="7"/>
  <c r="AE18" i="7"/>
  <c r="AE7" i="7"/>
  <c r="AE9" i="7"/>
  <c r="AG8" i="7" l="1"/>
  <c r="AF19" i="7"/>
  <c r="AF10" i="7"/>
  <c r="AF11" i="7"/>
  <c r="AF12" i="7"/>
  <c r="AF13" i="7"/>
  <c r="AF14" i="7"/>
  <c r="AF15" i="7"/>
  <c r="AF16" i="7"/>
  <c r="AF17" i="7"/>
  <c r="AF18" i="7"/>
  <c r="AF9" i="7"/>
  <c r="AF7" i="7"/>
  <c r="AH8" i="7" l="1"/>
  <c r="AG19" i="7"/>
  <c r="AG10" i="7"/>
  <c r="AG11" i="7"/>
  <c r="AG12" i="7"/>
  <c r="AG13" i="7"/>
  <c r="AG14" i="7"/>
  <c r="AG15" i="7"/>
  <c r="AG16" i="7"/>
  <c r="AG17" i="7"/>
  <c r="AG18" i="7"/>
  <c r="AG7" i="7"/>
  <c r="AG9" i="7"/>
  <c r="AI8" i="7" l="1"/>
  <c r="AH19" i="7"/>
  <c r="AH10" i="7"/>
  <c r="AH11" i="7"/>
  <c r="AH12" i="7"/>
  <c r="AH13" i="7"/>
  <c r="AH14" i="7"/>
  <c r="AH15" i="7"/>
  <c r="AH16" i="7"/>
  <c r="AH17" i="7"/>
  <c r="AH18" i="7"/>
  <c r="AH7" i="7"/>
  <c r="AH9" i="7"/>
  <c r="AJ8" i="7" l="1"/>
  <c r="AI7" i="7"/>
  <c r="AI9" i="7"/>
  <c r="AI19" i="7"/>
  <c r="AI10" i="7"/>
  <c r="AI11" i="7"/>
  <c r="AI12" i="7"/>
  <c r="AI13" i="7"/>
  <c r="AI14" i="7"/>
  <c r="AI15" i="7"/>
  <c r="AI16" i="7"/>
  <c r="AI17" i="7"/>
  <c r="AI18" i="7"/>
  <c r="AK8" i="7" l="1"/>
  <c r="AJ19" i="7"/>
  <c r="AJ10" i="7"/>
  <c r="AJ11" i="7"/>
  <c r="AJ12" i="7"/>
  <c r="AJ13" i="7"/>
  <c r="AJ14" i="7"/>
  <c r="AJ15" i="7"/>
  <c r="AJ16" i="7"/>
  <c r="AJ17" i="7"/>
  <c r="AJ18" i="7"/>
  <c r="AJ9" i="7"/>
  <c r="AJ7" i="7"/>
  <c r="AK19" i="7" l="1"/>
  <c r="AK10" i="7"/>
  <c r="AK11" i="7"/>
  <c r="AK12" i="7"/>
  <c r="AK13" i="7"/>
  <c r="AK14" i="7"/>
  <c r="AK15" i="7"/>
  <c r="AK16" i="7"/>
  <c r="AK17" i="7"/>
  <c r="AK18" i="7"/>
  <c r="AL8" i="7"/>
  <c r="AK9" i="7"/>
  <c r="AK7" i="7"/>
  <c r="AM8" i="7" l="1"/>
  <c r="AL19" i="7"/>
  <c r="AL10" i="7"/>
  <c r="AL11" i="7"/>
  <c r="AL12" i="7"/>
  <c r="AL13" i="7"/>
  <c r="AL14" i="7"/>
  <c r="AL15" i="7"/>
  <c r="AL16" i="7"/>
  <c r="AL17" i="7"/>
  <c r="AL18" i="7"/>
  <c r="AL9" i="7"/>
  <c r="AL7" i="7"/>
  <c r="AM7" i="7" l="1"/>
  <c r="AM17" i="7"/>
  <c r="AM15" i="7"/>
  <c r="AM16" i="7"/>
  <c r="AM9" i="7"/>
  <c r="AM19" i="7"/>
  <c r="AM10" i="7"/>
  <c r="AM11" i="7"/>
  <c r="AM12" i="7"/>
  <c r="AM13" i="7"/>
  <c r="AM14" i="7"/>
  <c r="AM18"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2C977AB-E943-462E-9596-50593701FE53}" keepAlive="1" name="Query - CUSTOMER PAYMENT LIST" description="Connection to the 'CUSTOMER PAYMENT LIST' query in the workbook." type="5" refreshedVersion="6" background="1" saveData="1">
    <dbPr connection="Provider=Microsoft.Mashup.OleDb.1;Data Source=$Workbook$;Location=CUSTOMER PAYMENT LIST;Extended Properties=&quot;&quot;" command="SELECT * FROM [CUSTOMER PAYMENT LIST]"/>
  </connection>
  <connection id="2" xr16:uid="{6766E48B-1C0A-448F-927F-80F9A44F9C85}" keepAlive="1" name="Query - SALES DATA" description="Connection to the 'SALES DATA' query in the workbook." type="5" refreshedVersion="0">
    <dbPr connection="Provider=Microsoft.Mashup.OleDb.1;Data Source=$Workbook$;Location=SALES DATA;Extended Properties=&quot;&quot;" command="SELECT * FROM [SALES DATA]"/>
  </connection>
  <connection id="3" xr16:uid="{DBB76E94-BE71-4B8D-AD6B-A9A7E48B906C}"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368B69F7-FD75-4170-8989-1B3F24AB18D4}"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5" xr16:uid="{0CCA22C5-B48B-4C09-AD15-1FED1FAA2097}" keepAlive="1" name="Query - Transform File from SALES DATA" description="Connection to the 'Transform File from SALES DATA' query in the workbook." type="5" refreshedVersion="0" background="1">
    <dbPr connection="Provider=Microsoft.Mashup.OleDb.1;Data Source=$Workbook$;Location=&quot;Transform File from SALES DATA&quot;;Extended Properties=&quot;&quot;" command="SELECT * FROM [Transform File from SALES DATA]"/>
  </connection>
  <connection id="6" xr16:uid="{D8978243-B8C7-4050-88BD-A4B165633621}" keepAlive="1" name="Query - Transform Sample File from SALES DATA" description="Connection to the 'Transform Sample File from SALES DATA' query in the workbook." type="5" refreshedVersion="0" background="1">
    <dbPr connection="Provider=Microsoft.Mashup.OleDb.1;Data Source=$Workbook$;Location=&quot;Transform Sample File from SALES DATA&quot;;Extended Properties=&quot;&quot;" command="SELECT * FROM [Transform Sample File from SALES DATA]"/>
  </connection>
  <connection id="7" xr16:uid="{BA08529E-7ED2-4561-924B-24EBADE095A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 xr16:uid="{8565CEA9-2946-4073-80DE-E3F411B6F1D8}" name="WorksheetConnection_Book.xlsm!customer_data" type="102" refreshedVersion="6" minRefreshableVersion="5">
    <extLst>
      <ext xmlns:x15="http://schemas.microsoft.com/office/spreadsheetml/2010/11/main" uri="{DE250136-89BD-433C-8126-D09CA5730AF9}">
        <x15:connection id="customer_data" autoDelete="1">
          <x15:rangePr sourceName="_xlcn.WorksheetConnection_Book.xlsmcustomer_data1"/>
        </x15:connection>
      </ext>
    </extLst>
  </connection>
  <connection id="9" xr16:uid="{879257AF-8B9A-4F61-A202-52DEF04EB7A9}" name="WorksheetConnection_Book.xlsm!Sales_Data" type="102" refreshedVersion="6" minRefreshableVersion="5">
    <extLst>
      <ext xmlns:x15="http://schemas.microsoft.com/office/spreadsheetml/2010/11/main" uri="{DE250136-89BD-433C-8126-D09CA5730AF9}">
        <x15:connection id="Sales_Data">
          <x15:rangePr sourceName="_xlcn.WorksheetConnection_Book.xlsmSales_Data1"/>
        </x15:connection>
      </ext>
    </extLst>
  </connection>
</connections>
</file>

<file path=xl/sharedStrings.xml><?xml version="1.0" encoding="utf-8"?>
<sst xmlns="http://schemas.openxmlformats.org/spreadsheetml/2006/main" count="5412" uniqueCount="2641">
  <si>
    <t>S.No.</t>
  </si>
  <si>
    <t>Customer Name</t>
  </si>
  <si>
    <t>Invoice No</t>
  </si>
  <si>
    <t>Invoice Date</t>
  </si>
  <si>
    <t>Amount</t>
  </si>
  <si>
    <t>Status</t>
  </si>
  <si>
    <t>Ankit Trading Company</t>
  </si>
  <si>
    <t>JK00003</t>
  </si>
  <si>
    <t>Suraj Traders</t>
  </si>
  <si>
    <t>JK00004</t>
  </si>
  <si>
    <t>Sandeep Agencies</t>
  </si>
  <si>
    <t>JK00005</t>
  </si>
  <si>
    <t>Satya Enterprises</t>
  </si>
  <si>
    <t>JK00006</t>
  </si>
  <si>
    <t>Mohit Retail Venture</t>
  </si>
  <si>
    <t>JK00007</t>
  </si>
  <si>
    <t>Akash Deep Trading</t>
  </si>
  <si>
    <t>JK00008</t>
  </si>
  <si>
    <t>Jain Traders</t>
  </si>
  <si>
    <t>JK00009</t>
  </si>
  <si>
    <t>Ajay &amp; Company</t>
  </si>
  <si>
    <t>JK00010</t>
  </si>
  <si>
    <t>Balkrishan &amp; Sons</t>
  </si>
  <si>
    <t>JK00011</t>
  </si>
  <si>
    <t>Ashutosh Agency</t>
  </si>
  <si>
    <t>JK00012</t>
  </si>
  <si>
    <t>JK00013</t>
  </si>
  <si>
    <t>JK00014</t>
  </si>
  <si>
    <t>JK00015</t>
  </si>
  <si>
    <t>JK00016</t>
  </si>
  <si>
    <t>JK00017</t>
  </si>
  <si>
    <t>JK00018</t>
  </si>
  <si>
    <t>JK00019</t>
  </si>
  <si>
    <t>JK00020</t>
  </si>
  <si>
    <t>JK00021</t>
  </si>
  <si>
    <t>JK00022</t>
  </si>
  <si>
    <t>JK00023</t>
  </si>
  <si>
    <t>JK00024</t>
  </si>
  <si>
    <t>JK00025</t>
  </si>
  <si>
    <t>JK00026</t>
  </si>
  <si>
    <t>JK00027</t>
  </si>
  <si>
    <t>JK00028</t>
  </si>
  <si>
    <t>JK00029</t>
  </si>
  <si>
    <t>JK00030</t>
  </si>
  <si>
    <t>JK00031</t>
  </si>
  <si>
    <t>JK00032</t>
  </si>
  <si>
    <t>JK00033</t>
  </si>
  <si>
    <t>JK00034</t>
  </si>
  <si>
    <t>JK00035</t>
  </si>
  <si>
    <t>JK00036</t>
  </si>
  <si>
    <t>JK00037</t>
  </si>
  <si>
    <t>JK00038</t>
  </si>
  <si>
    <t>JK00039</t>
  </si>
  <si>
    <t>JK00040</t>
  </si>
  <si>
    <t>JK00041</t>
  </si>
  <si>
    <t>JK00042</t>
  </si>
  <si>
    <t>JK00043</t>
  </si>
  <si>
    <t>JK00044</t>
  </si>
  <si>
    <t>JK00045</t>
  </si>
  <si>
    <t>JK00046</t>
  </si>
  <si>
    <t>JK00047</t>
  </si>
  <si>
    <t>JK00048</t>
  </si>
  <si>
    <t>JK00049</t>
  </si>
  <si>
    <t>JK00050</t>
  </si>
  <si>
    <t>JK00051</t>
  </si>
  <si>
    <t>JK00052</t>
  </si>
  <si>
    <t>JK00053</t>
  </si>
  <si>
    <t>JK00054</t>
  </si>
  <si>
    <t>JK00055</t>
  </si>
  <si>
    <t>JK00056</t>
  </si>
  <si>
    <t>JK00057</t>
  </si>
  <si>
    <t>JK00058</t>
  </si>
  <si>
    <t>JK00059</t>
  </si>
  <si>
    <t>JK00060</t>
  </si>
  <si>
    <t>JK00061</t>
  </si>
  <si>
    <t>JK00062</t>
  </si>
  <si>
    <t>JK00063</t>
  </si>
  <si>
    <t>JK00064</t>
  </si>
  <si>
    <t>JK00065</t>
  </si>
  <si>
    <t>JK00066</t>
  </si>
  <si>
    <t>JK00067</t>
  </si>
  <si>
    <t>JK00068</t>
  </si>
  <si>
    <t>JK00069</t>
  </si>
  <si>
    <t>JK00070</t>
  </si>
  <si>
    <t>JK00071</t>
  </si>
  <si>
    <t>JK00072</t>
  </si>
  <si>
    <t>JK00073</t>
  </si>
  <si>
    <t>JK00074</t>
  </si>
  <si>
    <t>JK00075</t>
  </si>
  <si>
    <t>JK00076</t>
  </si>
  <si>
    <t>JK00077</t>
  </si>
  <si>
    <t>JK00078</t>
  </si>
  <si>
    <t>JK00079</t>
  </si>
  <si>
    <t>JK00080</t>
  </si>
  <si>
    <t>JK00081</t>
  </si>
  <si>
    <t>JK00197</t>
  </si>
  <si>
    <t>JK00198</t>
  </si>
  <si>
    <t>JK00199</t>
  </si>
  <si>
    <t>JK00285</t>
  </si>
  <si>
    <t>JK00286</t>
  </si>
  <si>
    <t>JK00287</t>
  </si>
  <si>
    <t>JK00288</t>
  </si>
  <si>
    <t>JK00289</t>
  </si>
  <si>
    <t>JK00290</t>
  </si>
  <si>
    <t>JK00291</t>
  </si>
  <si>
    <t>JK00292</t>
  </si>
  <si>
    <t>JK00293</t>
  </si>
  <si>
    <t>JK00294</t>
  </si>
  <si>
    <t>JK00295</t>
  </si>
  <si>
    <t>JK00296</t>
  </si>
  <si>
    <t>JK00297</t>
  </si>
  <si>
    <t>JK00298</t>
  </si>
  <si>
    <t>JK00299</t>
  </si>
  <si>
    <t>JK00300</t>
  </si>
  <si>
    <t>JK00344</t>
  </si>
  <si>
    <t>JK00345</t>
  </si>
  <si>
    <t>JK00346</t>
  </si>
  <si>
    <t>JK00347</t>
  </si>
  <si>
    <t>JK00348</t>
  </si>
  <si>
    <t>JK00349</t>
  </si>
  <si>
    <t>JK00350</t>
  </si>
  <si>
    <t>JK00351</t>
  </si>
  <si>
    <t>JK00352</t>
  </si>
  <si>
    <t>JK00353</t>
  </si>
  <si>
    <t>JK00354</t>
  </si>
  <si>
    <t>JK00355</t>
  </si>
  <si>
    <t>JK00356</t>
  </si>
  <si>
    <t>JK00357</t>
  </si>
  <si>
    <t>JK00358</t>
  </si>
  <si>
    <t>JK00359</t>
  </si>
  <si>
    <t>JK00360</t>
  </si>
  <si>
    <t>JK00361</t>
  </si>
  <si>
    <t>JK00362</t>
  </si>
  <si>
    <t>JK00363</t>
  </si>
  <si>
    <t>JK00364</t>
  </si>
  <si>
    <t>JK00365</t>
  </si>
  <si>
    <t>JK00366</t>
  </si>
  <si>
    <t>JK00367</t>
  </si>
  <si>
    <t>JK00368</t>
  </si>
  <si>
    <t>JK00369</t>
  </si>
  <si>
    <t>JK00370</t>
  </si>
  <si>
    <t>JK00371</t>
  </si>
  <si>
    <t>JK00415</t>
  </si>
  <si>
    <t>JK00416</t>
  </si>
  <si>
    <t>JK00417</t>
  </si>
  <si>
    <t>JK00418</t>
  </si>
  <si>
    <t>JK00419</t>
  </si>
  <si>
    <t>JK00420</t>
  </si>
  <si>
    <t>JK00421</t>
  </si>
  <si>
    <t>JK00422</t>
  </si>
  <si>
    <t>JK00423</t>
  </si>
  <si>
    <t>JK00424</t>
  </si>
  <si>
    <t>JK00425</t>
  </si>
  <si>
    <t>JK00426</t>
  </si>
  <si>
    <t>JK00427</t>
  </si>
  <si>
    <t>JK00428</t>
  </si>
  <si>
    <t>JK00429</t>
  </si>
  <si>
    <t>JK00430</t>
  </si>
  <si>
    <t>JK00431</t>
  </si>
  <si>
    <t>JK00432</t>
  </si>
  <si>
    <t>JK00433</t>
  </si>
  <si>
    <t>JK00434</t>
  </si>
  <si>
    <t>JK00435</t>
  </si>
  <si>
    <t>JK00436</t>
  </si>
  <si>
    <t>JK00437</t>
  </si>
  <si>
    <t>JK00438</t>
  </si>
  <si>
    <t>JK00439</t>
  </si>
  <si>
    <t>JK00440</t>
  </si>
  <si>
    <t>JK00441</t>
  </si>
  <si>
    <t>JK00442</t>
  </si>
  <si>
    <t>JK00443</t>
  </si>
  <si>
    <t>JK00444</t>
  </si>
  <si>
    <t>JK00445</t>
  </si>
  <si>
    <t>JK00446</t>
  </si>
  <si>
    <t>JK00447</t>
  </si>
  <si>
    <t>JK00448</t>
  </si>
  <si>
    <t>JK00449</t>
  </si>
  <si>
    <t>JK00450</t>
  </si>
  <si>
    <t>JK00451</t>
  </si>
  <si>
    <t>JK00452</t>
  </si>
  <si>
    <t>JK00453</t>
  </si>
  <si>
    <t>JK00454</t>
  </si>
  <si>
    <t>JK00455</t>
  </si>
  <si>
    <t>JK00456</t>
  </si>
  <si>
    <t>JK00457</t>
  </si>
  <si>
    <t>JK00458</t>
  </si>
  <si>
    <t>JK00459</t>
  </si>
  <si>
    <t>JK00460</t>
  </si>
  <si>
    <t>JK00461</t>
  </si>
  <si>
    <t>JK00462</t>
  </si>
  <si>
    <t>JK00463</t>
  </si>
  <si>
    <t>JK00464</t>
  </si>
  <si>
    <t>JK00465</t>
  </si>
  <si>
    <t>JK00466</t>
  </si>
  <si>
    <t>JK00467</t>
  </si>
  <si>
    <t>JK00468</t>
  </si>
  <si>
    <t>JK00469</t>
  </si>
  <si>
    <t>JK00470</t>
  </si>
  <si>
    <t>JK00471</t>
  </si>
  <si>
    <t>JK00472</t>
  </si>
  <si>
    <t>JK00473</t>
  </si>
  <si>
    <t>JK00474</t>
  </si>
  <si>
    <t>JK00475</t>
  </si>
  <si>
    <t>JK00476</t>
  </si>
  <si>
    <t>JK00477</t>
  </si>
  <si>
    <t>JK00478</t>
  </si>
  <si>
    <t>JK00479</t>
  </si>
  <si>
    <t>JK00480</t>
  </si>
  <si>
    <t>JK00481</t>
  </si>
  <si>
    <t>JK00482</t>
  </si>
  <si>
    <t>JK00483</t>
  </si>
  <si>
    <t>JK00484</t>
  </si>
  <si>
    <t>JK00485</t>
  </si>
  <si>
    <t>JK00486</t>
  </si>
  <si>
    <t>JK00487</t>
  </si>
  <si>
    <t>JK00488</t>
  </si>
  <si>
    <t>JK00489</t>
  </si>
  <si>
    <t>JK00490</t>
  </si>
  <si>
    <t>JK00491</t>
  </si>
  <si>
    <t>JK00492</t>
  </si>
  <si>
    <t>JK00493</t>
  </si>
  <si>
    <t>JK00494</t>
  </si>
  <si>
    <t>JK00495</t>
  </si>
  <si>
    <t>JK00496</t>
  </si>
  <si>
    <t>JK00497</t>
  </si>
  <si>
    <t>JK00498</t>
  </si>
  <si>
    <t>JK00499</t>
  </si>
  <si>
    <t>JK00500</t>
  </si>
  <si>
    <t>JK00501</t>
  </si>
  <si>
    <t>JK00502</t>
  </si>
  <si>
    <t>JK00503</t>
  </si>
  <si>
    <t>JK00504</t>
  </si>
  <si>
    <t>JK00505</t>
  </si>
  <si>
    <t>JK00506</t>
  </si>
  <si>
    <t>JK00507</t>
  </si>
  <si>
    <t>JK00508</t>
  </si>
  <si>
    <t>JK00509</t>
  </si>
  <si>
    <t>JK00510</t>
  </si>
  <si>
    <t>JK00511</t>
  </si>
  <si>
    <t>JK00512</t>
  </si>
  <si>
    <t>JK00513</t>
  </si>
  <si>
    <t>JK00514</t>
  </si>
  <si>
    <t>JK00515</t>
  </si>
  <si>
    <t>JK00516</t>
  </si>
  <si>
    <t>JK00517</t>
  </si>
  <si>
    <t>JK00518</t>
  </si>
  <si>
    <t>JK00519</t>
  </si>
  <si>
    <t>JK00520</t>
  </si>
  <si>
    <t>JK00521</t>
  </si>
  <si>
    <t>JK00522</t>
  </si>
  <si>
    <t>JK00523</t>
  </si>
  <si>
    <t>JK00524</t>
  </si>
  <si>
    <t>JK00525</t>
  </si>
  <si>
    <t>JK00526</t>
  </si>
  <si>
    <t>JK00527</t>
  </si>
  <si>
    <t>JK00528</t>
  </si>
  <si>
    <t>JK00529</t>
  </si>
  <si>
    <t>JK00530</t>
  </si>
  <si>
    <t>JK00531</t>
  </si>
  <si>
    <t>JK00532</t>
  </si>
  <si>
    <t>JK00533</t>
  </si>
  <si>
    <t>JK00534</t>
  </si>
  <si>
    <t>JK00535</t>
  </si>
  <si>
    <t>JK00536</t>
  </si>
  <si>
    <t>JK00537</t>
  </si>
  <si>
    <t>JK00538</t>
  </si>
  <si>
    <t>JK00539</t>
  </si>
  <si>
    <t>JK00540</t>
  </si>
  <si>
    <t>JK00541</t>
  </si>
  <si>
    <t>JK00542</t>
  </si>
  <si>
    <t>JK00543</t>
  </si>
  <si>
    <t>JK00544</t>
  </si>
  <si>
    <t>JK00545</t>
  </si>
  <si>
    <t>JK00546</t>
  </si>
  <si>
    <t>JK00547</t>
  </si>
  <si>
    <t>JK00548</t>
  </si>
  <si>
    <t>JK00549</t>
  </si>
  <si>
    <t>JK00550</t>
  </si>
  <si>
    <t>JK00551</t>
  </si>
  <si>
    <t>JK00552</t>
  </si>
  <si>
    <t>JK00553</t>
  </si>
  <si>
    <t>JK00554</t>
  </si>
  <si>
    <t>JK00555</t>
  </si>
  <si>
    <t>JK00556</t>
  </si>
  <si>
    <t>JK00557</t>
  </si>
  <si>
    <t>JK00558</t>
  </si>
  <si>
    <t>JK00559</t>
  </si>
  <si>
    <t>JK00560</t>
  </si>
  <si>
    <t>JK00561</t>
  </si>
  <si>
    <t>JK00562</t>
  </si>
  <si>
    <t>JK00563</t>
  </si>
  <si>
    <t>JK00564</t>
  </si>
  <si>
    <t>JK00565</t>
  </si>
  <si>
    <t>JK00566</t>
  </si>
  <si>
    <t>JK00567</t>
  </si>
  <si>
    <t>JK00568</t>
  </si>
  <si>
    <t>JK00569</t>
  </si>
  <si>
    <t>JK00570</t>
  </si>
  <si>
    <t>JK00571</t>
  </si>
  <si>
    <t>JK00572</t>
  </si>
  <si>
    <t>JK00573</t>
  </si>
  <si>
    <t>JK00574</t>
  </si>
  <si>
    <t>JK00575</t>
  </si>
  <si>
    <t>JK00576</t>
  </si>
  <si>
    <t>JK00577</t>
  </si>
  <si>
    <t>JK00578</t>
  </si>
  <si>
    <t>JK00579</t>
  </si>
  <si>
    <t>JK00580</t>
  </si>
  <si>
    <t>JK00581</t>
  </si>
  <si>
    <t>JK00582</t>
  </si>
  <si>
    <t>JK00583</t>
  </si>
  <si>
    <t>JK00584</t>
  </si>
  <si>
    <t>JK00585</t>
  </si>
  <si>
    <t>JK00586</t>
  </si>
  <si>
    <t>JK00587</t>
  </si>
  <si>
    <t>JK00588</t>
  </si>
  <si>
    <t>JK00589</t>
  </si>
  <si>
    <t>JK00590</t>
  </si>
  <si>
    <t>JK00591</t>
  </si>
  <si>
    <t>JK00592</t>
  </si>
  <si>
    <t>JK00593</t>
  </si>
  <si>
    <t>JK00594</t>
  </si>
  <si>
    <t>JK00595</t>
  </si>
  <si>
    <t>JK00596</t>
  </si>
  <si>
    <t>JK00597</t>
  </si>
  <si>
    <t>JK00598</t>
  </si>
  <si>
    <t>JK00599</t>
  </si>
  <si>
    <t>JK00600</t>
  </si>
  <si>
    <t>JK00601</t>
  </si>
  <si>
    <t>JK00602</t>
  </si>
  <si>
    <t>JK00603</t>
  </si>
  <si>
    <t>JK00604</t>
  </si>
  <si>
    <t>JK00605</t>
  </si>
  <si>
    <t>JK00606</t>
  </si>
  <si>
    <t>JK00607</t>
  </si>
  <si>
    <t>JK00608</t>
  </si>
  <si>
    <t>JK00609</t>
  </si>
  <si>
    <t>JK00610</t>
  </si>
  <si>
    <t>JK00611</t>
  </si>
  <si>
    <t>JK00612</t>
  </si>
  <si>
    <t>JK00613</t>
  </si>
  <si>
    <t>JK00614</t>
  </si>
  <si>
    <t>JK00615</t>
  </si>
  <si>
    <t>JK00616</t>
  </si>
  <si>
    <t>JK00617</t>
  </si>
  <si>
    <t>JK00618</t>
  </si>
  <si>
    <t>JK00619</t>
  </si>
  <si>
    <t>JK00620</t>
  </si>
  <si>
    <t>JK00621</t>
  </si>
  <si>
    <t>JK00622</t>
  </si>
  <si>
    <t>JK00623</t>
  </si>
  <si>
    <t>JK00624</t>
  </si>
  <si>
    <t>JK00625</t>
  </si>
  <si>
    <t>JK00626</t>
  </si>
  <si>
    <t>JK00627</t>
  </si>
  <si>
    <t>JK00628</t>
  </si>
  <si>
    <t>JK00629</t>
  </si>
  <si>
    <t>JK00630</t>
  </si>
  <si>
    <t>JK00631</t>
  </si>
  <si>
    <t>JK00632</t>
  </si>
  <si>
    <t>JK00633</t>
  </si>
  <si>
    <t>JK00634</t>
  </si>
  <si>
    <t>JK00635</t>
  </si>
  <si>
    <t>JK00636</t>
  </si>
  <si>
    <t>JK00637</t>
  </si>
  <si>
    <t>JK00638</t>
  </si>
  <si>
    <t>JK00639</t>
  </si>
  <si>
    <t>JK00640</t>
  </si>
  <si>
    <t>JK00641</t>
  </si>
  <si>
    <t>JK00642</t>
  </si>
  <si>
    <t>JK00643</t>
  </si>
  <si>
    <t>JK00644</t>
  </si>
  <si>
    <t>JK00645</t>
  </si>
  <si>
    <t>JK00646</t>
  </si>
  <si>
    <t>JK00647</t>
  </si>
  <si>
    <t>JK00648</t>
  </si>
  <si>
    <t>JK00649</t>
  </si>
  <si>
    <t>JK00650</t>
  </si>
  <si>
    <t>JK00651</t>
  </si>
  <si>
    <t>JK00652</t>
  </si>
  <si>
    <t>JK00653</t>
  </si>
  <si>
    <t>JK00654</t>
  </si>
  <si>
    <t>JK00655</t>
  </si>
  <si>
    <t>JK00656</t>
  </si>
  <si>
    <t>JK00657</t>
  </si>
  <si>
    <t>JK00658</t>
  </si>
  <si>
    <t>JK00659</t>
  </si>
  <si>
    <t>JK00660</t>
  </si>
  <si>
    <t>JK00661</t>
  </si>
  <si>
    <t>JK00662</t>
  </si>
  <si>
    <t>JK00663</t>
  </si>
  <si>
    <t>JK00664</t>
  </si>
  <si>
    <t>JK00665</t>
  </si>
  <si>
    <t>JK00666</t>
  </si>
  <si>
    <t>JK00667</t>
  </si>
  <si>
    <t>JK00668</t>
  </si>
  <si>
    <t>JK00669</t>
  </si>
  <si>
    <t>JK00670</t>
  </si>
  <si>
    <t>JK00671</t>
  </si>
  <si>
    <t>JK00672</t>
  </si>
  <si>
    <t>JK00673</t>
  </si>
  <si>
    <t>JK00674</t>
  </si>
  <si>
    <t>JK00675</t>
  </si>
  <si>
    <t>JK00676</t>
  </si>
  <si>
    <t>JK00677</t>
  </si>
  <si>
    <t>JK00678</t>
  </si>
  <si>
    <t>JK00679</t>
  </si>
  <si>
    <t>JK00680</t>
  </si>
  <si>
    <t>JK00681</t>
  </si>
  <si>
    <t>JK00682</t>
  </si>
  <si>
    <t>JK00683</t>
  </si>
  <si>
    <t>JK00684</t>
  </si>
  <si>
    <t>JK00685</t>
  </si>
  <si>
    <t>JK00686</t>
  </si>
  <si>
    <t>JK00687</t>
  </si>
  <si>
    <t>JK00688</t>
  </si>
  <si>
    <t>JK00689</t>
  </si>
  <si>
    <t>JK00690</t>
  </si>
  <si>
    <t>JK00691</t>
  </si>
  <si>
    <t>JK00692</t>
  </si>
  <si>
    <t>JK00693</t>
  </si>
  <si>
    <t>JK00694</t>
  </si>
  <si>
    <t>JK00695</t>
  </si>
  <si>
    <t>JK00696</t>
  </si>
  <si>
    <t>JK00697</t>
  </si>
  <si>
    <t>JK00698</t>
  </si>
  <si>
    <t>JK00699</t>
  </si>
  <si>
    <t>JK00700</t>
  </si>
  <si>
    <t>JK00701</t>
  </si>
  <si>
    <t>JK00702</t>
  </si>
  <si>
    <t>JK00703</t>
  </si>
  <si>
    <t>JK00704</t>
  </si>
  <si>
    <t>JK00705</t>
  </si>
  <si>
    <t>JK00706</t>
  </si>
  <si>
    <t>JK00707</t>
  </si>
  <si>
    <t>JK00708</t>
  </si>
  <si>
    <t>JK00709</t>
  </si>
  <si>
    <t>JK00710</t>
  </si>
  <si>
    <t>JK00711</t>
  </si>
  <si>
    <t>JK00712</t>
  </si>
  <si>
    <t>JK00713</t>
  </si>
  <si>
    <t>JK00714</t>
  </si>
  <si>
    <t>JK00715</t>
  </si>
  <si>
    <t>JK00716</t>
  </si>
  <si>
    <t>JK00717</t>
  </si>
  <si>
    <t>JK00718</t>
  </si>
  <si>
    <t>JK00719</t>
  </si>
  <si>
    <t>JK00720</t>
  </si>
  <si>
    <t>JK00721</t>
  </si>
  <si>
    <t>JK00722</t>
  </si>
  <si>
    <t>JK00723</t>
  </si>
  <si>
    <t>JK00724</t>
  </si>
  <si>
    <t>JK00725</t>
  </si>
  <si>
    <t>JK00726</t>
  </si>
  <si>
    <t>JK00727</t>
  </si>
  <si>
    <t>JK00728</t>
  </si>
  <si>
    <t>JK00729</t>
  </si>
  <si>
    <t>JK00730</t>
  </si>
  <si>
    <t>JK00731</t>
  </si>
  <si>
    <t>JK00732</t>
  </si>
  <si>
    <t>JK00733</t>
  </si>
  <si>
    <t>JK00734</t>
  </si>
  <si>
    <t>JK00735</t>
  </si>
  <si>
    <t>JK00736</t>
  </si>
  <si>
    <t>JK00737</t>
  </si>
  <si>
    <t>JK00738</t>
  </si>
  <si>
    <t>JK00739</t>
  </si>
  <si>
    <t>JK00740</t>
  </si>
  <si>
    <t>JK00741</t>
  </si>
  <si>
    <t>JK00742</t>
  </si>
  <si>
    <t>JK00743</t>
  </si>
  <si>
    <t>JK00744</t>
  </si>
  <si>
    <t>JK00745</t>
  </si>
  <si>
    <t>JK00746</t>
  </si>
  <si>
    <t>JK00747</t>
  </si>
  <si>
    <t>JK00748</t>
  </si>
  <si>
    <t>JK00749</t>
  </si>
  <si>
    <t>JK00750</t>
  </si>
  <si>
    <t>JK00751</t>
  </si>
  <si>
    <t>JK00752</t>
  </si>
  <si>
    <t>JK00753</t>
  </si>
  <si>
    <t>JK00754</t>
  </si>
  <si>
    <t>JK00755</t>
  </si>
  <si>
    <t>JK00756</t>
  </si>
  <si>
    <t>JK00757</t>
  </si>
  <si>
    <t>JK00758</t>
  </si>
  <si>
    <t>JK00759</t>
  </si>
  <si>
    <t>JK00760</t>
  </si>
  <si>
    <t>JK00761</t>
  </si>
  <si>
    <t>JK00762</t>
  </si>
  <si>
    <t>JK00763</t>
  </si>
  <si>
    <t>JK00764</t>
  </si>
  <si>
    <t>JK00765</t>
  </si>
  <si>
    <t>JK00766</t>
  </si>
  <si>
    <t>JK00767</t>
  </si>
  <si>
    <t>JK00768</t>
  </si>
  <si>
    <t>JK00769</t>
  </si>
  <si>
    <t>JK00770</t>
  </si>
  <si>
    <t>JK00771</t>
  </si>
  <si>
    <t>JK00772</t>
  </si>
  <si>
    <t>JK00773</t>
  </si>
  <si>
    <t>JK00774</t>
  </si>
  <si>
    <t>JK00775</t>
  </si>
  <si>
    <t>JK00776</t>
  </si>
  <si>
    <t>JK00777</t>
  </si>
  <si>
    <t>JK00778</t>
  </si>
  <si>
    <t>JK00779</t>
  </si>
  <si>
    <t>JK00780</t>
  </si>
  <si>
    <t>JK00781</t>
  </si>
  <si>
    <t>JK00782</t>
  </si>
  <si>
    <t>JK00783</t>
  </si>
  <si>
    <t>JK00784</t>
  </si>
  <si>
    <t>JK00785</t>
  </si>
  <si>
    <t>JK00786</t>
  </si>
  <si>
    <t>JK00787</t>
  </si>
  <si>
    <t>JK00788</t>
  </si>
  <si>
    <t>JK00789</t>
  </si>
  <si>
    <t>JK00790</t>
  </si>
  <si>
    <t>JK00791</t>
  </si>
  <si>
    <t>JK00792</t>
  </si>
  <si>
    <t>JK00793</t>
  </si>
  <si>
    <t>JK00794</t>
  </si>
  <si>
    <t>JK00795</t>
  </si>
  <si>
    <t>JK00796</t>
  </si>
  <si>
    <t>JK00797</t>
  </si>
  <si>
    <t>JK00798</t>
  </si>
  <si>
    <t>JK00799</t>
  </si>
  <si>
    <t>JK00800</t>
  </si>
  <si>
    <t>JK00801</t>
  </si>
  <si>
    <t>JK00802</t>
  </si>
  <si>
    <t>JK00803</t>
  </si>
  <si>
    <t>JK00804</t>
  </si>
  <si>
    <t>JK00805</t>
  </si>
  <si>
    <t>JK00806</t>
  </si>
  <si>
    <t>JK00807</t>
  </si>
  <si>
    <t>JK00808</t>
  </si>
  <si>
    <t>JK00809</t>
  </si>
  <si>
    <t>JK00810</t>
  </si>
  <si>
    <t>JK00811</t>
  </si>
  <si>
    <t>JK00812</t>
  </si>
  <si>
    <t>JK00813</t>
  </si>
  <si>
    <t>JK00814</t>
  </si>
  <si>
    <t>JK00815</t>
  </si>
  <si>
    <t>JK00816</t>
  </si>
  <si>
    <t>JK00817</t>
  </si>
  <si>
    <t>JK00818</t>
  </si>
  <si>
    <t>JK00819</t>
  </si>
  <si>
    <t>JK00820</t>
  </si>
  <si>
    <t>JK00821</t>
  </si>
  <si>
    <t>JK00822</t>
  </si>
  <si>
    <t>JK00823</t>
  </si>
  <si>
    <t>JK00824</t>
  </si>
  <si>
    <t>JK00825</t>
  </si>
  <si>
    <t>JK00826</t>
  </si>
  <si>
    <t>JK00827</t>
  </si>
  <si>
    <t>JK00828</t>
  </si>
  <si>
    <t>JK00829</t>
  </si>
  <si>
    <t>JK00830</t>
  </si>
  <si>
    <t>JK00831</t>
  </si>
  <si>
    <t>JK00832</t>
  </si>
  <si>
    <t>JK00833</t>
  </si>
  <si>
    <t>JK00834</t>
  </si>
  <si>
    <t>JK00835</t>
  </si>
  <si>
    <t>JK00836</t>
  </si>
  <si>
    <t>JK00837</t>
  </si>
  <si>
    <t>JK00838</t>
  </si>
  <si>
    <t>JK00839</t>
  </si>
  <si>
    <t>JK00840</t>
  </si>
  <si>
    <t>JK00841</t>
  </si>
  <si>
    <t>JK00842</t>
  </si>
  <si>
    <t>JK00843</t>
  </si>
  <si>
    <t>JK00844</t>
  </si>
  <si>
    <t>JK00845</t>
  </si>
  <si>
    <t>JK00846</t>
  </si>
  <si>
    <t>JK00847</t>
  </si>
  <si>
    <t>JK00848</t>
  </si>
  <si>
    <t>JK00849</t>
  </si>
  <si>
    <t>JK00850</t>
  </si>
  <si>
    <t>JK00851</t>
  </si>
  <si>
    <t>JK00852</t>
  </si>
  <si>
    <t>JK00853</t>
  </si>
  <si>
    <t>JK00854</t>
  </si>
  <si>
    <t>JK00855</t>
  </si>
  <si>
    <t>JK00856</t>
  </si>
  <si>
    <t>JK00857</t>
  </si>
  <si>
    <t>JK00858</t>
  </si>
  <si>
    <t>JK00859</t>
  </si>
  <si>
    <t>JK00860</t>
  </si>
  <si>
    <t>JK00861</t>
  </si>
  <si>
    <t>JK00862</t>
  </si>
  <si>
    <t>JK00863</t>
  </si>
  <si>
    <t>JK00864</t>
  </si>
  <si>
    <t>JK00865</t>
  </si>
  <si>
    <t>JK00866</t>
  </si>
  <si>
    <t>JK00867</t>
  </si>
  <si>
    <t>JK00868</t>
  </si>
  <si>
    <t>JK00869</t>
  </si>
  <si>
    <t>JK00870</t>
  </si>
  <si>
    <t>JK00871</t>
  </si>
  <si>
    <t>JK00872</t>
  </si>
  <si>
    <t>JK00873</t>
  </si>
  <si>
    <t>JK00874</t>
  </si>
  <si>
    <t>JK00875</t>
  </si>
  <si>
    <t>JK00876</t>
  </si>
  <si>
    <t>JK00877</t>
  </si>
  <si>
    <t>JK00878</t>
  </si>
  <si>
    <t>JK00879</t>
  </si>
  <si>
    <t>JK00880</t>
  </si>
  <si>
    <t>JK00881</t>
  </si>
  <si>
    <t>JK00882</t>
  </si>
  <si>
    <t>JK00883</t>
  </si>
  <si>
    <t>JK00884</t>
  </si>
  <si>
    <t>JK00885</t>
  </si>
  <si>
    <t>JK00886</t>
  </si>
  <si>
    <t>JK00887</t>
  </si>
  <si>
    <t>JK00888</t>
  </si>
  <si>
    <t>JK00889</t>
  </si>
  <si>
    <t>JK00890</t>
  </si>
  <si>
    <t>JK00891</t>
  </si>
  <si>
    <t>JK00892</t>
  </si>
  <si>
    <t>JK00893</t>
  </si>
  <si>
    <t>JK00894</t>
  </si>
  <si>
    <t>JK00895</t>
  </si>
  <si>
    <t>JK00896</t>
  </si>
  <si>
    <t>JK00897</t>
  </si>
  <si>
    <t>JK00898</t>
  </si>
  <si>
    <t>JK00899</t>
  </si>
  <si>
    <t>JK00900</t>
  </si>
  <si>
    <t>JK00901</t>
  </si>
  <si>
    <t>JK00902</t>
  </si>
  <si>
    <t>JK00903</t>
  </si>
  <si>
    <t>JK00904</t>
  </si>
  <si>
    <t>JK00905</t>
  </si>
  <si>
    <t>JK00906</t>
  </si>
  <si>
    <t>JK00907</t>
  </si>
  <si>
    <t>JK00908</t>
  </si>
  <si>
    <t>JK00909</t>
  </si>
  <si>
    <t>JK00910</t>
  </si>
  <si>
    <t>JK00911</t>
  </si>
  <si>
    <t>JK00912</t>
  </si>
  <si>
    <t>JK00913</t>
  </si>
  <si>
    <t>JK00914</t>
  </si>
  <si>
    <t>JK00915</t>
  </si>
  <si>
    <t>JK00916</t>
  </si>
  <si>
    <t>JK00917</t>
  </si>
  <si>
    <t>JK00918</t>
  </si>
  <si>
    <t>JK00919</t>
  </si>
  <si>
    <t>JK00920</t>
  </si>
  <si>
    <t>JK00921</t>
  </si>
  <si>
    <t>JK00922</t>
  </si>
  <si>
    <t>JK00923</t>
  </si>
  <si>
    <t>JK00924</t>
  </si>
  <si>
    <t>JK00925</t>
  </si>
  <si>
    <t>JK00926</t>
  </si>
  <si>
    <t>JK00927</t>
  </si>
  <si>
    <t>JK00928</t>
  </si>
  <si>
    <t>JK00929</t>
  </si>
  <si>
    <t>JK00930</t>
  </si>
  <si>
    <t>JK00931</t>
  </si>
  <si>
    <t>JK00932</t>
  </si>
  <si>
    <t>JK00933</t>
  </si>
  <si>
    <t>JK00934</t>
  </si>
  <si>
    <t>JK00935</t>
  </si>
  <si>
    <t>JK00936</t>
  </si>
  <si>
    <t>JK00937</t>
  </si>
  <si>
    <t>JK00938</t>
  </si>
  <si>
    <t>JK00939</t>
  </si>
  <si>
    <t>JK00940</t>
  </si>
  <si>
    <t>JK00941</t>
  </si>
  <si>
    <t>JK00942</t>
  </si>
  <si>
    <t>JK00943</t>
  </si>
  <si>
    <t>JK00944</t>
  </si>
  <si>
    <t>JK00945</t>
  </si>
  <si>
    <t>JK00946</t>
  </si>
  <si>
    <t>JK00947</t>
  </si>
  <si>
    <t>JK00948</t>
  </si>
  <si>
    <t>JK00949</t>
  </si>
  <si>
    <t>JK00950</t>
  </si>
  <si>
    <t>JK00951</t>
  </si>
  <si>
    <t>JK00952</t>
  </si>
  <si>
    <t>JK00953</t>
  </si>
  <si>
    <t>JK00954</t>
  </si>
  <si>
    <t>JK00955</t>
  </si>
  <si>
    <t>JK00956</t>
  </si>
  <si>
    <t>JK00957</t>
  </si>
  <si>
    <t>JK00958</t>
  </si>
  <si>
    <t>JK00959</t>
  </si>
  <si>
    <t>JK00960</t>
  </si>
  <si>
    <t>JK00961</t>
  </si>
  <si>
    <t>JK00962</t>
  </si>
  <si>
    <t>JK00963</t>
  </si>
  <si>
    <t>JK00964</t>
  </si>
  <si>
    <t>JK00965</t>
  </si>
  <si>
    <t>JK00966</t>
  </si>
  <si>
    <t>JK00967</t>
  </si>
  <si>
    <t>JK00968</t>
  </si>
  <si>
    <t>JK00969</t>
  </si>
  <si>
    <t>JK00970</t>
  </si>
  <si>
    <t>JK00971</t>
  </si>
  <si>
    <t>JK00972</t>
  </si>
  <si>
    <t>JK00973</t>
  </si>
  <si>
    <t>JK00974</t>
  </si>
  <si>
    <t>JK00975</t>
  </si>
  <si>
    <t>JK00976</t>
  </si>
  <si>
    <t>JK00977</t>
  </si>
  <si>
    <t>JK00978</t>
  </si>
  <si>
    <t>JK00979</t>
  </si>
  <si>
    <t>JK00980</t>
  </si>
  <si>
    <t>JK00981</t>
  </si>
  <si>
    <t>JK00982</t>
  </si>
  <si>
    <t>JK00983</t>
  </si>
  <si>
    <t>JK00984</t>
  </si>
  <si>
    <t>JK00985</t>
  </si>
  <si>
    <t>JK00986</t>
  </si>
  <si>
    <t>JK00987</t>
  </si>
  <si>
    <t>JK00988</t>
  </si>
  <si>
    <t>JK00989</t>
  </si>
  <si>
    <t>JK00990</t>
  </si>
  <si>
    <t>JK00991</t>
  </si>
  <si>
    <t>JK00992</t>
  </si>
  <si>
    <t>JK00993</t>
  </si>
  <si>
    <t>JK00994</t>
  </si>
  <si>
    <t>JK00995</t>
  </si>
  <si>
    <t>JK00996</t>
  </si>
  <si>
    <t>JK00997</t>
  </si>
  <si>
    <t>JK00998</t>
  </si>
  <si>
    <t>JK00999</t>
  </si>
  <si>
    <t>JK01000</t>
  </si>
  <si>
    <t>JK01001</t>
  </si>
  <si>
    <t>JK01002</t>
  </si>
  <si>
    <t>JK01003</t>
  </si>
  <si>
    <t>JK01004</t>
  </si>
  <si>
    <t>JK01005</t>
  </si>
  <si>
    <t>JK01006</t>
  </si>
  <si>
    <t>JK01007</t>
  </si>
  <si>
    <t>JK01008</t>
  </si>
  <si>
    <t>JK01009</t>
  </si>
  <si>
    <t>JK01010</t>
  </si>
  <si>
    <t>JK01011</t>
  </si>
  <si>
    <t>JK01012</t>
  </si>
  <si>
    <t>JK01013</t>
  </si>
  <si>
    <t>JK01014</t>
  </si>
  <si>
    <t>JK01015</t>
  </si>
  <si>
    <t>JK01016</t>
  </si>
  <si>
    <t>JK01017</t>
  </si>
  <si>
    <t>JK01018</t>
  </si>
  <si>
    <t>JK01019</t>
  </si>
  <si>
    <t>JK01020</t>
  </si>
  <si>
    <t>JK01021</t>
  </si>
  <si>
    <t>JK01022</t>
  </si>
  <si>
    <t>JK01023</t>
  </si>
  <si>
    <t>JK01024</t>
  </si>
  <si>
    <t>JK01025</t>
  </si>
  <si>
    <t>JK01026</t>
  </si>
  <si>
    <t>JK01027</t>
  </si>
  <si>
    <t>JK01028</t>
  </si>
  <si>
    <t>JK01029</t>
  </si>
  <si>
    <t>JK01030</t>
  </si>
  <si>
    <t>JK01031</t>
  </si>
  <si>
    <t>JK01032</t>
  </si>
  <si>
    <t>JK01033</t>
  </si>
  <si>
    <t>JK01034</t>
  </si>
  <si>
    <t>JK01035</t>
  </si>
  <si>
    <t>JK01036</t>
  </si>
  <si>
    <t>JK01037</t>
  </si>
  <si>
    <t>JK01038</t>
  </si>
  <si>
    <t>JK01039</t>
  </si>
  <si>
    <t>JK01040</t>
  </si>
  <si>
    <t>JK01041</t>
  </si>
  <si>
    <t>JK01042</t>
  </si>
  <si>
    <t>JK01043</t>
  </si>
  <si>
    <t>JK01044</t>
  </si>
  <si>
    <t>JK01045</t>
  </si>
  <si>
    <t>JK01046</t>
  </si>
  <si>
    <t>JK01047</t>
  </si>
  <si>
    <t>JK01048</t>
  </si>
  <si>
    <t>JK01049</t>
  </si>
  <si>
    <t>JK01050</t>
  </si>
  <si>
    <t>JK01051</t>
  </si>
  <si>
    <t>JK01052</t>
  </si>
  <si>
    <t>JK01053</t>
  </si>
  <si>
    <t>JK01054</t>
  </si>
  <si>
    <t>JK01055</t>
  </si>
  <si>
    <t>JK01056</t>
  </si>
  <si>
    <t>JK01057</t>
  </si>
  <si>
    <t>JK01058</t>
  </si>
  <si>
    <t>JK01059</t>
  </si>
  <si>
    <t>JK01060</t>
  </si>
  <si>
    <t>JK01061</t>
  </si>
  <si>
    <t>JK01062</t>
  </si>
  <si>
    <t>JK01063</t>
  </si>
  <si>
    <t>JK01064</t>
  </si>
  <si>
    <t>JK01065</t>
  </si>
  <si>
    <t>JK01066</t>
  </si>
  <si>
    <t>JK01067</t>
  </si>
  <si>
    <t>JK01068</t>
  </si>
  <si>
    <t>JK01069</t>
  </si>
  <si>
    <t>JK01070</t>
  </si>
  <si>
    <t>JK01071</t>
  </si>
  <si>
    <t>JK01072</t>
  </si>
  <si>
    <t>JK01073</t>
  </si>
  <si>
    <t>JK01074</t>
  </si>
  <si>
    <t>JK01075</t>
  </si>
  <si>
    <t>JK01076</t>
  </si>
  <si>
    <t>JK01077</t>
  </si>
  <si>
    <t>JK01078</t>
  </si>
  <si>
    <t>JK01079</t>
  </si>
  <si>
    <t>JK01080</t>
  </si>
  <si>
    <t>JK01081</t>
  </si>
  <si>
    <t>JK01082</t>
  </si>
  <si>
    <t>JK01083</t>
  </si>
  <si>
    <t>JK01084</t>
  </si>
  <si>
    <t>JK01085</t>
  </si>
  <si>
    <t>JK01086</t>
  </si>
  <si>
    <t>JK01087</t>
  </si>
  <si>
    <t>JK01088</t>
  </si>
  <si>
    <t>JK01089</t>
  </si>
  <si>
    <t>JK01090</t>
  </si>
  <si>
    <t>JK01091</t>
  </si>
  <si>
    <t>JK01092</t>
  </si>
  <si>
    <t>JK01093</t>
  </si>
  <si>
    <t>JK01094</t>
  </si>
  <si>
    <t>JK01095</t>
  </si>
  <si>
    <t>JK01096</t>
  </si>
  <si>
    <t>JK01097</t>
  </si>
  <si>
    <t>JK01098</t>
  </si>
  <si>
    <t>JK01099</t>
  </si>
  <si>
    <t>JK01100</t>
  </si>
  <si>
    <t>JK01101</t>
  </si>
  <si>
    <t>JK01102</t>
  </si>
  <si>
    <t>JK01103</t>
  </si>
  <si>
    <t>JK01104</t>
  </si>
  <si>
    <t>JK01105</t>
  </si>
  <si>
    <t>JK01106</t>
  </si>
  <si>
    <t>JK01107</t>
  </si>
  <si>
    <t>JK01108</t>
  </si>
  <si>
    <t>JK01109</t>
  </si>
  <si>
    <t>JK01110</t>
  </si>
  <si>
    <t>JK01111</t>
  </si>
  <si>
    <t>JK01112</t>
  </si>
  <si>
    <t>JK01113</t>
  </si>
  <si>
    <t>JK01114</t>
  </si>
  <si>
    <t>JK01115</t>
  </si>
  <si>
    <t>JK01116</t>
  </si>
  <si>
    <t>JK01117</t>
  </si>
  <si>
    <t>JK01118</t>
  </si>
  <si>
    <t>JK01119</t>
  </si>
  <si>
    <t>JK01120</t>
  </si>
  <si>
    <t>JK01121</t>
  </si>
  <si>
    <t>JK01122</t>
  </si>
  <si>
    <t>JK01123</t>
  </si>
  <si>
    <t>JK01124</t>
  </si>
  <si>
    <t>JK01125</t>
  </si>
  <si>
    <t>JK01126</t>
  </si>
  <si>
    <t>JK01127</t>
  </si>
  <si>
    <t>JK01128</t>
  </si>
  <si>
    <t>JK01129</t>
  </si>
  <si>
    <t>JK01130</t>
  </si>
  <si>
    <t>JK01131</t>
  </si>
  <si>
    <t>JK01132</t>
  </si>
  <si>
    <t>JK01133</t>
  </si>
  <si>
    <t>JK01134</t>
  </si>
  <si>
    <t>JK01135</t>
  </si>
  <si>
    <t>JK01136</t>
  </si>
  <si>
    <t>JK01137</t>
  </si>
  <si>
    <t>JK01138</t>
  </si>
  <si>
    <t>JK01139</t>
  </si>
  <si>
    <t>JK01140</t>
  </si>
  <si>
    <t>JK01141</t>
  </si>
  <si>
    <t>JK01142</t>
  </si>
  <si>
    <t>JK01143</t>
  </si>
  <si>
    <t>JK01144</t>
  </si>
  <si>
    <t>JK01145</t>
  </si>
  <si>
    <t>JK01146</t>
  </si>
  <si>
    <t>JK01147</t>
  </si>
  <si>
    <t>JK01148</t>
  </si>
  <si>
    <t>JK01149</t>
  </si>
  <si>
    <t>JK01150</t>
  </si>
  <si>
    <t>JK01151</t>
  </si>
  <si>
    <t>JK01152</t>
  </si>
  <si>
    <t>JK01153</t>
  </si>
  <si>
    <t>JK01154</t>
  </si>
  <si>
    <t>JK01155</t>
  </si>
  <si>
    <t>JK01156</t>
  </si>
  <si>
    <t>JK01157</t>
  </si>
  <si>
    <t>JK01158</t>
  </si>
  <si>
    <t>JK01159</t>
  </si>
  <si>
    <t>JK01160</t>
  </si>
  <si>
    <t>JK01161</t>
  </si>
  <si>
    <t>JK01162</t>
  </si>
  <si>
    <t>JK01163</t>
  </si>
  <si>
    <t>JK01164</t>
  </si>
  <si>
    <t>JK01165</t>
  </si>
  <si>
    <t>JK01166</t>
  </si>
  <si>
    <t>JK01167</t>
  </si>
  <si>
    <t>JK01168</t>
  </si>
  <si>
    <t>JK01169</t>
  </si>
  <si>
    <t>JK01170</t>
  </si>
  <si>
    <t>JK01171</t>
  </si>
  <si>
    <t>JK01172</t>
  </si>
  <si>
    <t>JK01173</t>
  </si>
  <si>
    <t>JK01174</t>
  </si>
  <si>
    <t>JK01175</t>
  </si>
  <si>
    <t>JK01176</t>
  </si>
  <si>
    <t>JK01177</t>
  </si>
  <si>
    <t>JK01178</t>
  </si>
  <si>
    <t>JK01179</t>
  </si>
  <si>
    <t>JK01180</t>
  </si>
  <si>
    <t>JK01181</t>
  </si>
  <si>
    <t>JK01182</t>
  </si>
  <si>
    <t>JK01183</t>
  </si>
  <si>
    <t>JK01184</t>
  </si>
  <si>
    <t>JK01185</t>
  </si>
  <si>
    <t>JK01186</t>
  </si>
  <si>
    <t>JK01187</t>
  </si>
  <si>
    <t>JK01188</t>
  </si>
  <si>
    <t>JK01189</t>
  </si>
  <si>
    <t>JK01190</t>
  </si>
  <si>
    <t>JK01191</t>
  </si>
  <si>
    <t>JK01192</t>
  </si>
  <si>
    <t>JK01193</t>
  </si>
  <si>
    <t>JK01194</t>
  </si>
  <si>
    <t>JK01195</t>
  </si>
  <si>
    <t>JK01196</t>
  </si>
  <si>
    <t>JK01197</t>
  </si>
  <si>
    <t>JK01198</t>
  </si>
  <si>
    <t>JK01199</t>
  </si>
  <si>
    <t>JK01200</t>
  </si>
  <si>
    <t>JK01201</t>
  </si>
  <si>
    <t>JK01202</t>
  </si>
  <si>
    <t>JK01203</t>
  </si>
  <si>
    <t>JK01204</t>
  </si>
  <si>
    <t>JK01205</t>
  </si>
  <si>
    <t>JK01206</t>
  </si>
  <si>
    <t>JK01207</t>
  </si>
  <si>
    <t>JK01208</t>
  </si>
  <si>
    <t>JK01209</t>
  </si>
  <si>
    <t>JK01210</t>
  </si>
  <si>
    <t>JK01211</t>
  </si>
  <si>
    <t>JK01212</t>
  </si>
  <si>
    <t>JK01213</t>
  </si>
  <si>
    <t>JK01214</t>
  </si>
  <si>
    <t>JK01215</t>
  </si>
  <si>
    <t>JK01216</t>
  </si>
  <si>
    <t>JK01217</t>
  </si>
  <si>
    <t>JK01218</t>
  </si>
  <si>
    <t>JK01219</t>
  </si>
  <si>
    <t>JK01220</t>
  </si>
  <si>
    <t>JK01221</t>
  </si>
  <si>
    <t>JK01222</t>
  </si>
  <si>
    <t>JK01223</t>
  </si>
  <si>
    <t>JK01224</t>
  </si>
  <si>
    <t>JK01225</t>
  </si>
  <si>
    <t>JK01226</t>
  </si>
  <si>
    <t>JK01227</t>
  </si>
  <si>
    <t>JK01228</t>
  </si>
  <si>
    <t>JK01229</t>
  </si>
  <si>
    <t>JK01230</t>
  </si>
  <si>
    <t>JK01231</t>
  </si>
  <si>
    <t>JK01232</t>
  </si>
  <si>
    <t>JK01233</t>
  </si>
  <si>
    <t>JK01234</t>
  </si>
  <si>
    <t>JK01235</t>
  </si>
  <si>
    <t>JK01236</t>
  </si>
  <si>
    <t>JK01237</t>
  </si>
  <si>
    <t>JK01238</t>
  </si>
  <si>
    <t>JK01239</t>
  </si>
  <si>
    <t>JK01240</t>
  </si>
  <si>
    <t>JK01241</t>
  </si>
  <si>
    <t>JK01242</t>
  </si>
  <si>
    <t>JK01243</t>
  </si>
  <si>
    <t>JK01244</t>
  </si>
  <si>
    <t>JK01245</t>
  </si>
  <si>
    <t>JK01246</t>
  </si>
  <si>
    <t>JK01247</t>
  </si>
  <si>
    <t>JK01248</t>
  </si>
  <si>
    <t>JK01249</t>
  </si>
  <si>
    <t>JK01250</t>
  </si>
  <si>
    <t>JK01251</t>
  </si>
  <si>
    <t>JK01252</t>
  </si>
  <si>
    <t>JK01253</t>
  </si>
  <si>
    <t>JK01254</t>
  </si>
  <si>
    <t>JK01255</t>
  </si>
  <si>
    <t>JK01256</t>
  </si>
  <si>
    <t>JK01257</t>
  </si>
  <si>
    <t>JK01258</t>
  </si>
  <si>
    <t>JK01259</t>
  </si>
  <si>
    <t>JK01260</t>
  </si>
  <si>
    <t>JK01261</t>
  </si>
  <si>
    <t>JK01262</t>
  </si>
  <si>
    <t>JK01263</t>
  </si>
  <si>
    <t>JK01264</t>
  </si>
  <si>
    <t>JK01265</t>
  </si>
  <si>
    <t>JK01266</t>
  </si>
  <si>
    <t>JK01267</t>
  </si>
  <si>
    <t>JK01268</t>
  </si>
  <si>
    <t>JK01269</t>
  </si>
  <si>
    <t>JK01270</t>
  </si>
  <si>
    <t>JK01271</t>
  </si>
  <si>
    <t>JK01272</t>
  </si>
  <si>
    <t>JK01273</t>
  </si>
  <si>
    <t>JK01274</t>
  </si>
  <si>
    <t>JK01275</t>
  </si>
  <si>
    <t>JK01276</t>
  </si>
  <si>
    <t>JK01277</t>
  </si>
  <si>
    <t>JK01278</t>
  </si>
  <si>
    <t>JK01279</t>
  </si>
  <si>
    <t>JK01280</t>
  </si>
  <si>
    <t>JK01281</t>
  </si>
  <si>
    <t>JK01282</t>
  </si>
  <si>
    <t>JK01283</t>
  </si>
  <si>
    <t>JK01284</t>
  </si>
  <si>
    <t>JK01285</t>
  </si>
  <si>
    <t>JK01286</t>
  </si>
  <si>
    <t>JK01287</t>
  </si>
  <si>
    <t>JK01288</t>
  </si>
  <si>
    <t>JK01289</t>
  </si>
  <si>
    <t>JK01290</t>
  </si>
  <si>
    <t>JK01291</t>
  </si>
  <si>
    <t>JK01292</t>
  </si>
  <si>
    <t>JK01293</t>
  </si>
  <si>
    <t>JK01294</t>
  </si>
  <si>
    <t>JK01295</t>
  </si>
  <si>
    <t>JK01296</t>
  </si>
  <si>
    <t>JK01297</t>
  </si>
  <si>
    <t>JK01298</t>
  </si>
  <si>
    <t>JK01299</t>
  </si>
  <si>
    <t>JK01300</t>
  </si>
  <si>
    <t>JK01301</t>
  </si>
  <si>
    <t>JK01302</t>
  </si>
  <si>
    <t>JK01303</t>
  </si>
  <si>
    <t>JK01304</t>
  </si>
  <si>
    <t>JK01305</t>
  </si>
  <si>
    <t>JK01306</t>
  </si>
  <si>
    <t>JK01307</t>
  </si>
  <si>
    <t>JK01308</t>
  </si>
  <si>
    <t>JK01309</t>
  </si>
  <si>
    <t>JK01310</t>
  </si>
  <si>
    <t>JK01311</t>
  </si>
  <si>
    <t>JK01312</t>
  </si>
  <si>
    <t>JK01313</t>
  </si>
  <si>
    <t>JK01314</t>
  </si>
  <si>
    <t>JK01315</t>
  </si>
  <si>
    <t>JK01316</t>
  </si>
  <si>
    <t>JK01317</t>
  </si>
  <si>
    <t>JK01318</t>
  </si>
  <si>
    <t>JK01319</t>
  </si>
  <si>
    <t>JK01320</t>
  </si>
  <si>
    <t>JK01321</t>
  </si>
  <si>
    <t>JK01322</t>
  </si>
  <si>
    <t>JK01323</t>
  </si>
  <si>
    <t>JK01324</t>
  </si>
  <si>
    <t>JK01325</t>
  </si>
  <si>
    <t>JK01326</t>
  </si>
  <si>
    <t>JK01327</t>
  </si>
  <si>
    <t>JK01328</t>
  </si>
  <si>
    <t>JK01329</t>
  </si>
  <si>
    <t>JK01330</t>
  </si>
  <si>
    <t>JK01331</t>
  </si>
  <si>
    <t>JK01332</t>
  </si>
  <si>
    <t>JK01333</t>
  </si>
  <si>
    <t>JK01334</t>
  </si>
  <si>
    <t>JK01335</t>
  </si>
  <si>
    <t>JK01336</t>
  </si>
  <si>
    <t>JK01337</t>
  </si>
  <si>
    <t>JK01338</t>
  </si>
  <si>
    <t>JK01339</t>
  </si>
  <si>
    <t>JK01340</t>
  </si>
  <si>
    <t>JK01341</t>
  </si>
  <si>
    <t>JK01342</t>
  </si>
  <si>
    <t>JK01343</t>
  </si>
  <si>
    <t>JK01344</t>
  </si>
  <si>
    <t>JK01345</t>
  </si>
  <si>
    <t>JK01346</t>
  </si>
  <si>
    <t>JK01347</t>
  </si>
  <si>
    <t>JK01348</t>
  </si>
  <si>
    <t>JK01349</t>
  </si>
  <si>
    <t>JK01350</t>
  </si>
  <si>
    <t>JK01351</t>
  </si>
  <si>
    <t>JK01352</t>
  </si>
  <si>
    <t>JK01353</t>
  </si>
  <si>
    <t>JK01354</t>
  </si>
  <si>
    <t>JK01355</t>
  </si>
  <si>
    <t>JK01356</t>
  </si>
  <si>
    <t>JK01357</t>
  </si>
  <si>
    <t>JK01358</t>
  </si>
  <si>
    <t>JK01359</t>
  </si>
  <si>
    <t>JK01360</t>
  </si>
  <si>
    <t>JK01361</t>
  </si>
  <si>
    <t>JK01362</t>
  </si>
  <si>
    <t>JK01363</t>
  </si>
  <si>
    <t>JK01364</t>
  </si>
  <si>
    <t>JK01365</t>
  </si>
  <si>
    <t>JK01366</t>
  </si>
  <si>
    <t>JK01367</t>
  </si>
  <si>
    <t>JK01368</t>
  </si>
  <si>
    <t>JK01369</t>
  </si>
  <si>
    <t>JK01370</t>
  </si>
  <si>
    <t>JK01371</t>
  </si>
  <si>
    <t>JK01372</t>
  </si>
  <si>
    <t>JK01373</t>
  </si>
  <si>
    <t>JK01374</t>
  </si>
  <si>
    <t>JK01375</t>
  </si>
  <si>
    <t>JK01376</t>
  </si>
  <si>
    <t>JK01377</t>
  </si>
  <si>
    <t>JK01378</t>
  </si>
  <si>
    <t>JK01379</t>
  </si>
  <si>
    <t>JK01380</t>
  </si>
  <si>
    <t>JK01381</t>
  </si>
  <si>
    <t>JK01382</t>
  </si>
  <si>
    <t>JK01383</t>
  </si>
  <si>
    <t>JK01384</t>
  </si>
  <si>
    <t>JK01385</t>
  </si>
  <si>
    <t>JK01386</t>
  </si>
  <si>
    <t>JK01387</t>
  </si>
  <si>
    <t>JK01388</t>
  </si>
  <si>
    <t>JK01389</t>
  </si>
  <si>
    <t>JK01390</t>
  </si>
  <si>
    <t>JK01391</t>
  </si>
  <si>
    <t>JK01392</t>
  </si>
  <si>
    <t>JK01393</t>
  </si>
  <si>
    <t>JK01394</t>
  </si>
  <si>
    <t>JK01395</t>
  </si>
  <si>
    <t>JK01396</t>
  </si>
  <si>
    <t>JK01397</t>
  </si>
  <si>
    <t>JK01398</t>
  </si>
  <si>
    <t>JK01399</t>
  </si>
  <si>
    <t>JK01400</t>
  </si>
  <si>
    <t>JK01401</t>
  </si>
  <si>
    <t>JK01402</t>
  </si>
  <si>
    <t>JK01403</t>
  </si>
  <si>
    <t>JK01404</t>
  </si>
  <si>
    <t>JK01405</t>
  </si>
  <si>
    <t>JK01406</t>
  </si>
  <si>
    <t>JK01407</t>
  </si>
  <si>
    <t>JK01408</t>
  </si>
  <si>
    <t>JK01409</t>
  </si>
  <si>
    <t>JK01410</t>
  </si>
  <si>
    <t>JK01411</t>
  </si>
  <si>
    <t>JK01412</t>
  </si>
  <si>
    <t>JK01413</t>
  </si>
  <si>
    <t>JK01414</t>
  </si>
  <si>
    <t>JK01415</t>
  </si>
  <si>
    <t>JK01416</t>
  </si>
  <si>
    <t>JK01417</t>
  </si>
  <si>
    <t>JK01418</t>
  </si>
  <si>
    <t>JK01419</t>
  </si>
  <si>
    <t>JK01420</t>
  </si>
  <si>
    <t>JK01421</t>
  </si>
  <si>
    <t>JK01422</t>
  </si>
  <si>
    <t>JK01423</t>
  </si>
  <si>
    <t>JK01424</t>
  </si>
  <si>
    <t>JK01425</t>
  </si>
  <si>
    <t>JK01426</t>
  </si>
  <si>
    <t>JK01427</t>
  </si>
  <si>
    <t>JK01428</t>
  </si>
  <si>
    <t>JK01429</t>
  </si>
  <si>
    <t>JK01430</t>
  </si>
  <si>
    <t>JK01431</t>
  </si>
  <si>
    <t>JK01432</t>
  </si>
  <si>
    <t>JK01433</t>
  </si>
  <si>
    <t>JK01434</t>
  </si>
  <si>
    <t>JK01435</t>
  </si>
  <si>
    <t>JK01436</t>
  </si>
  <si>
    <t>JK01437</t>
  </si>
  <si>
    <t>JK01438</t>
  </si>
  <si>
    <t>JK01439</t>
  </si>
  <si>
    <t>JK01440</t>
  </si>
  <si>
    <t>JK01441</t>
  </si>
  <si>
    <t>JK01442</t>
  </si>
  <si>
    <t>JK01443</t>
  </si>
  <si>
    <t>JK01444</t>
  </si>
  <si>
    <t>JK01445</t>
  </si>
  <si>
    <t>JK01446</t>
  </si>
  <si>
    <t>JK01447</t>
  </si>
  <si>
    <t>JK01448</t>
  </si>
  <si>
    <t>JK01449</t>
  </si>
  <si>
    <t>JK01450</t>
  </si>
  <si>
    <t>JK01451</t>
  </si>
  <si>
    <t>JK01452</t>
  </si>
  <si>
    <t>JK01453</t>
  </si>
  <si>
    <t>JK01454</t>
  </si>
  <si>
    <t>JK01455</t>
  </si>
  <si>
    <t>JK01456</t>
  </si>
  <si>
    <t>JK01457</t>
  </si>
  <si>
    <t>JK01458</t>
  </si>
  <si>
    <t>JK01459</t>
  </si>
  <si>
    <t>JK01460</t>
  </si>
  <si>
    <t>JK01461</t>
  </si>
  <si>
    <t>JK01462</t>
  </si>
  <si>
    <t>JK01463</t>
  </si>
  <si>
    <t>JK01464</t>
  </si>
  <si>
    <t>JK01465</t>
  </si>
  <si>
    <t>JK01466</t>
  </si>
  <si>
    <t>JK01467</t>
  </si>
  <si>
    <t>JK01468</t>
  </si>
  <si>
    <t>JK01469</t>
  </si>
  <si>
    <t>JK01470</t>
  </si>
  <si>
    <t>JK01471</t>
  </si>
  <si>
    <t>JK01472</t>
  </si>
  <si>
    <t>JK01473</t>
  </si>
  <si>
    <t>JK01474</t>
  </si>
  <si>
    <t>JK01475</t>
  </si>
  <si>
    <t>JK01476</t>
  </si>
  <si>
    <t>JK01477</t>
  </si>
  <si>
    <t>JK01478</t>
  </si>
  <si>
    <t>JK01479</t>
  </si>
  <si>
    <t>JK01480</t>
  </si>
  <si>
    <t>JK01481</t>
  </si>
  <si>
    <t>JK01482</t>
  </si>
  <si>
    <t>JK01483</t>
  </si>
  <si>
    <t>JK01484</t>
  </si>
  <si>
    <t>JK01485</t>
  </si>
  <si>
    <t>JK01486</t>
  </si>
  <si>
    <t>JK01487</t>
  </si>
  <si>
    <t>JK01488</t>
  </si>
  <si>
    <t>JK01489</t>
  </si>
  <si>
    <t>JK01490</t>
  </si>
  <si>
    <t>JK01491</t>
  </si>
  <si>
    <t>JK01492</t>
  </si>
  <si>
    <t>JK01493</t>
  </si>
  <si>
    <t>JK01494</t>
  </si>
  <si>
    <t>JK01495</t>
  </si>
  <si>
    <t>JK01496</t>
  </si>
  <si>
    <t>JK01497</t>
  </si>
  <si>
    <t>JK01498</t>
  </si>
  <si>
    <t>JK01499</t>
  </si>
  <si>
    <t>JK01500</t>
  </si>
  <si>
    <t>JK01501</t>
  </si>
  <si>
    <t>JK01502</t>
  </si>
  <si>
    <t>JK01503</t>
  </si>
  <si>
    <t>JK01504</t>
  </si>
  <si>
    <t>JK01505</t>
  </si>
  <si>
    <t>JK01506</t>
  </si>
  <si>
    <t>JK01507</t>
  </si>
  <si>
    <t>JK01508</t>
  </si>
  <si>
    <t>JK01509</t>
  </si>
  <si>
    <t>JK01510</t>
  </si>
  <si>
    <t>JK01511</t>
  </si>
  <si>
    <t>JK01512</t>
  </si>
  <si>
    <t>JK01513</t>
  </si>
  <si>
    <t>JK01514</t>
  </si>
  <si>
    <t>JK01515</t>
  </si>
  <si>
    <t>JK01516</t>
  </si>
  <si>
    <t>JK01517</t>
  </si>
  <si>
    <t>JK01518</t>
  </si>
  <si>
    <t>JK01519</t>
  </si>
  <si>
    <t>JK01520</t>
  </si>
  <si>
    <t>JK01521</t>
  </si>
  <si>
    <t>JK01522</t>
  </si>
  <si>
    <t>JK01523</t>
  </si>
  <si>
    <t>JK01524</t>
  </si>
  <si>
    <t>JK01525</t>
  </si>
  <si>
    <t>JK01526</t>
  </si>
  <si>
    <t>JK01527</t>
  </si>
  <si>
    <t>JK01528</t>
  </si>
  <si>
    <t>JK01529</t>
  </si>
  <si>
    <t>JK01530</t>
  </si>
  <si>
    <t>JK01531</t>
  </si>
  <si>
    <t>JK01532</t>
  </si>
  <si>
    <t>JK01533</t>
  </si>
  <si>
    <t>JK01534</t>
  </si>
  <si>
    <t>JK01535</t>
  </si>
  <si>
    <t>JK01536</t>
  </si>
  <si>
    <t>JK01537</t>
  </si>
  <si>
    <t>JK01538</t>
  </si>
  <si>
    <t>JK01539</t>
  </si>
  <si>
    <t>JK01540</t>
  </si>
  <si>
    <t>JK01541</t>
  </si>
  <si>
    <t>JK01542</t>
  </si>
  <si>
    <t>JK01543</t>
  </si>
  <si>
    <t>JK01544</t>
  </si>
  <si>
    <t>JK01545</t>
  </si>
  <si>
    <t>JK01546</t>
  </si>
  <si>
    <t>JK01547</t>
  </si>
  <si>
    <t>JK01548</t>
  </si>
  <si>
    <t>JK01549</t>
  </si>
  <si>
    <t>JK01550</t>
  </si>
  <si>
    <t>JK01551</t>
  </si>
  <si>
    <t>JK01552</t>
  </si>
  <si>
    <t>JK01553</t>
  </si>
  <si>
    <t>JK01554</t>
  </si>
  <si>
    <t>JK01555</t>
  </si>
  <si>
    <t>JK01556</t>
  </si>
  <si>
    <t>JK01557</t>
  </si>
  <si>
    <t>JK01558</t>
  </si>
  <si>
    <t>JK01559</t>
  </si>
  <si>
    <t>JK01560</t>
  </si>
  <si>
    <t>JK01561</t>
  </si>
  <si>
    <t>JK01562</t>
  </si>
  <si>
    <t>JK01563</t>
  </si>
  <si>
    <t>JK01564</t>
  </si>
  <si>
    <t>JK01565</t>
  </si>
  <si>
    <t>JK01566</t>
  </si>
  <si>
    <t>JK01567</t>
  </si>
  <si>
    <t>JK01568</t>
  </si>
  <si>
    <t>JK01569</t>
  </si>
  <si>
    <t>JK01570</t>
  </si>
  <si>
    <t>JK01571</t>
  </si>
  <si>
    <t>JK01572</t>
  </si>
  <si>
    <t>JK01573</t>
  </si>
  <si>
    <t>JK01574</t>
  </si>
  <si>
    <t>JK01575</t>
  </si>
  <si>
    <t>JK01576</t>
  </si>
  <si>
    <t>JK01577</t>
  </si>
  <si>
    <t>JK01578</t>
  </si>
  <si>
    <t>JK01579</t>
  </si>
  <si>
    <t>JK01580</t>
  </si>
  <si>
    <t>JK01581</t>
  </si>
  <si>
    <t>JK01582</t>
  </si>
  <si>
    <t>JK01583</t>
  </si>
  <si>
    <t>JK01584</t>
  </si>
  <si>
    <t>JK01585</t>
  </si>
  <si>
    <t>JK01586</t>
  </si>
  <si>
    <t>JK01587</t>
  </si>
  <si>
    <t>JK01588</t>
  </si>
  <si>
    <t>JK01589</t>
  </si>
  <si>
    <t>JK01590</t>
  </si>
  <si>
    <t>JK01591</t>
  </si>
  <si>
    <t>JK01592</t>
  </si>
  <si>
    <t>JK01593</t>
  </si>
  <si>
    <t>JK01594</t>
  </si>
  <si>
    <t>JK01595</t>
  </si>
  <si>
    <t>JK01596</t>
  </si>
  <si>
    <t>JK01597</t>
  </si>
  <si>
    <t>JK01598</t>
  </si>
  <si>
    <t>JK01599</t>
  </si>
  <si>
    <t>JK01600</t>
  </si>
  <si>
    <t>JK01601</t>
  </si>
  <si>
    <t>JK01602</t>
  </si>
  <si>
    <t>JK01603</t>
  </si>
  <si>
    <t>JK01604</t>
  </si>
  <si>
    <t>JK01605</t>
  </si>
  <si>
    <t>JK01606</t>
  </si>
  <si>
    <t>JK01607</t>
  </si>
  <si>
    <t>JK01608</t>
  </si>
  <si>
    <t>JK01609</t>
  </si>
  <si>
    <t>JK01610</t>
  </si>
  <si>
    <t>JK01611</t>
  </si>
  <si>
    <t>JK01612</t>
  </si>
  <si>
    <t>JK01613</t>
  </si>
  <si>
    <t>JK01614</t>
  </si>
  <si>
    <t>JK01615</t>
  </si>
  <si>
    <t>JK01616</t>
  </si>
  <si>
    <t>JK01617</t>
  </si>
  <si>
    <t>JK01618</t>
  </si>
  <si>
    <t>JK01619</t>
  </si>
  <si>
    <t>JK01620</t>
  </si>
  <si>
    <t>JK01621</t>
  </si>
  <si>
    <t>JK01622</t>
  </si>
  <si>
    <t>JK01623</t>
  </si>
  <si>
    <t>JK01624</t>
  </si>
  <si>
    <t>JK01625</t>
  </si>
  <si>
    <t>JK01626</t>
  </si>
  <si>
    <t>JK01627</t>
  </si>
  <si>
    <t>JK01628</t>
  </si>
  <si>
    <t>JK01629</t>
  </si>
  <si>
    <t>JK01630</t>
  </si>
  <si>
    <t>JK01631</t>
  </si>
  <si>
    <t>JK01632</t>
  </si>
  <si>
    <t>JK01633</t>
  </si>
  <si>
    <t>JK01634</t>
  </si>
  <si>
    <t>JK01635</t>
  </si>
  <si>
    <t>JK01636</t>
  </si>
  <si>
    <t>JK01637</t>
  </si>
  <si>
    <t>JK01638</t>
  </si>
  <si>
    <t>JK01639</t>
  </si>
  <si>
    <t>JK01640</t>
  </si>
  <si>
    <t>JK01641</t>
  </si>
  <si>
    <t>JK01642</t>
  </si>
  <si>
    <t>JK01643</t>
  </si>
  <si>
    <t>JK01644</t>
  </si>
  <si>
    <t>JK01645</t>
  </si>
  <si>
    <t>JK01646</t>
  </si>
  <si>
    <t>JK01647</t>
  </si>
  <si>
    <t>JK01648</t>
  </si>
  <si>
    <t>JK01649</t>
  </si>
  <si>
    <t>JK01650</t>
  </si>
  <si>
    <t>JK01651</t>
  </si>
  <si>
    <t>JK01652</t>
  </si>
  <si>
    <t>JK01653</t>
  </si>
  <si>
    <t>JK01654</t>
  </si>
  <si>
    <t>JK01655</t>
  </si>
  <si>
    <t>JK01656</t>
  </si>
  <si>
    <t>JK01657</t>
  </si>
  <si>
    <t>JK01658</t>
  </si>
  <si>
    <t>JK01659</t>
  </si>
  <si>
    <t>JK01660</t>
  </si>
  <si>
    <t>JK01661</t>
  </si>
  <si>
    <t>JK01662</t>
  </si>
  <si>
    <t>JK01663</t>
  </si>
  <si>
    <t>JK01664</t>
  </si>
  <si>
    <t>JK01665</t>
  </si>
  <si>
    <t>JK01666</t>
  </si>
  <si>
    <t>JK01667</t>
  </si>
  <si>
    <t>JK01668</t>
  </si>
  <si>
    <t>JK01669</t>
  </si>
  <si>
    <t>JK01670</t>
  </si>
  <si>
    <t>JK01671</t>
  </si>
  <si>
    <t>JK01672</t>
  </si>
  <si>
    <t>JK01673</t>
  </si>
  <si>
    <t>JK01674</t>
  </si>
  <si>
    <t>JK01675</t>
  </si>
  <si>
    <t>JK01676</t>
  </si>
  <si>
    <t>JK01677</t>
  </si>
  <si>
    <t>JK01678</t>
  </si>
  <si>
    <t>JK01679</t>
  </si>
  <si>
    <t>JK01680</t>
  </si>
  <si>
    <t>JK01681</t>
  </si>
  <si>
    <t>JK01682</t>
  </si>
  <si>
    <t>JK01683</t>
  </si>
  <si>
    <t>JK01684</t>
  </si>
  <si>
    <t>JK01685</t>
  </si>
  <si>
    <t>JK01686</t>
  </si>
  <si>
    <t>JK01687</t>
  </si>
  <si>
    <t>JK01688</t>
  </si>
  <si>
    <t>JK01689</t>
  </si>
  <si>
    <t>JK01690</t>
  </si>
  <si>
    <t>JK01691</t>
  </si>
  <si>
    <t>JK01692</t>
  </si>
  <si>
    <t>JK01693</t>
  </si>
  <si>
    <t>JK01694</t>
  </si>
  <si>
    <t>JK01695</t>
  </si>
  <si>
    <t>JK01696</t>
  </si>
  <si>
    <t>JK01697</t>
  </si>
  <si>
    <t>JK01698</t>
  </si>
  <si>
    <t>JK01699</t>
  </si>
  <si>
    <t>JK01700</t>
  </si>
  <si>
    <t>JK01701</t>
  </si>
  <si>
    <t>JK01702</t>
  </si>
  <si>
    <t>JK01703</t>
  </si>
  <si>
    <t>JK01704</t>
  </si>
  <si>
    <t>JK01705</t>
  </si>
  <si>
    <t>JK01706</t>
  </si>
  <si>
    <t>JK01707</t>
  </si>
  <si>
    <t>JK01708</t>
  </si>
  <si>
    <t>JK01709</t>
  </si>
  <si>
    <t>JK01710</t>
  </si>
  <si>
    <t>JK01711</t>
  </si>
  <si>
    <t>JK01712</t>
  </si>
  <si>
    <t>JK01713</t>
  </si>
  <si>
    <t>JK01714</t>
  </si>
  <si>
    <t>JK01715</t>
  </si>
  <si>
    <t>JK01716</t>
  </si>
  <si>
    <t>JK01717</t>
  </si>
  <si>
    <t>JK01718</t>
  </si>
  <si>
    <t>JK01719</t>
  </si>
  <si>
    <t>JK01720</t>
  </si>
  <si>
    <t>JK01721</t>
  </si>
  <si>
    <t>JK01722</t>
  </si>
  <si>
    <t>JK01723</t>
  </si>
  <si>
    <t>JK01724</t>
  </si>
  <si>
    <t>JK01725</t>
  </si>
  <si>
    <t>JK01726</t>
  </si>
  <si>
    <t>JK01727</t>
  </si>
  <si>
    <t>JK01728</t>
  </si>
  <si>
    <t>JK01729</t>
  </si>
  <si>
    <t>JK01730</t>
  </si>
  <si>
    <t>JK01731</t>
  </si>
  <si>
    <t>JK01732</t>
  </si>
  <si>
    <t>JK01733</t>
  </si>
  <si>
    <t>JK01734</t>
  </si>
  <si>
    <t>JK01735</t>
  </si>
  <si>
    <t>JK01736</t>
  </si>
  <si>
    <t>JK01737</t>
  </si>
  <si>
    <t>JK01738</t>
  </si>
  <si>
    <t>JK01739</t>
  </si>
  <si>
    <t>JK01740</t>
  </si>
  <si>
    <t>JK01741</t>
  </si>
  <si>
    <t>JK01742</t>
  </si>
  <si>
    <t>JK01743</t>
  </si>
  <si>
    <t>JK01744</t>
  </si>
  <si>
    <t>JK01745</t>
  </si>
  <si>
    <t>JK01746</t>
  </si>
  <si>
    <t>JK01747</t>
  </si>
  <si>
    <t>JK01748</t>
  </si>
  <si>
    <t>JK01749</t>
  </si>
  <si>
    <t>JK01750</t>
  </si>
  <si>
    <t>JK01751</t>
  </si>
  <si>
    <t>JK01752</t>
  </si>
  <si>
    <t>JK01753</t>
  </si>
  <si>
    <t>JK01754</t>
  </si>
  <si>
    <t>JK01755</t>
  </si>
  <si>
    <t>JK01756</t>
  </si>
  <si>
    <t>JK01757</t>
  </si>
  <si>
    <t>JK01758</t>
  </si>
  <si>
    <t>JK01759</t>
  </si>
  <si>
    <t>JK01760</t>
  </si>
  <si>
    <t>JK01761</t>
  </si>
  <si>
    <t>JK01762</t>
  </si>
  <si>
    <t>JK01763</t>
  </si>
  <si>
    <t>JK01764</t>
  </si>
  <si>
    <t>JK01765</t>
  </si>
  <si>
    <t>JK01766</t>
  </si>
  <si>
    <t>JK01767</t>
  </si>
  <si>
    <t>JK01768</t>
  </si>
  <si>
    <t>JK01769</t>
  </si>
  <si>
    <t>JK01770</t>
  </si>
  <si>
    <t>JK01771</t>
  </si>
  <si>
    <t>JK01772</t>
  </si>
  <si>
    <t>JK01773</t>
  </si>
  <si>
    <t>JK01774</t>
  </si>
  <si>
    <t>JK01775</t>
  </si>
  <si>
    <t>JK01776</t>
  </si>
  <si>
    <t>JK01777</t>
  </si>
  <si>
    <t>JK01778</t>
  </si>
  <si>
    <t>JK01779</t>
  </si>
  <si>
    <t>JK01780</t>
  </si>
  <si>
    <t>JK01781</t>
  </si>
  <si>
    <t>JK01782</t>
  </si>
  <si>
    <t>JK01783</t>
  </si>
  <si>
    <t>JK01784</t>
  </si>
  <si>
    <t>JK01785</t>
  </si>
  <si>
    <t>JK01786</t>
  </si>
  <si>
    <t>JK01787</t>
  </si>
  <si>
    <t>JK01788</t>
  </si>
  <si>
    <t>JK01789</t>
  </si>
  <si>
    <t>JK01790</t>
  </si>
  <si>
    <t>JK01791</t>
  </si>
  <si>
    <t>JK01792</t>
  </si>
  <si>
    <t>JK01793</t>
  </si>
  <si>
    <t>JK01794</t>
  </si>
  <si>
    <t>JK01795</t>
  </si>
  <si>
    <t>JK01796</t>
  </si>
  <si>
    <t>JK01797</t>
  </si>
  <si>
    <t>JK01798</t>
  </si>
  <si>
    <t>JK01799</t>
  </si>
  <si>
    <t>JK01800</t>
  </si>
  <si>
    <t>JK01801</t>
  </si>
  <si>
    <t>JK01802</t>
  </si>
  <si>
    <t>JK01803</t>
  </si>
  <si>
    <t>JK01804</t>
  </si>
  <si>
    <t>JK01805</t>
  </si>
  <si>
    <t>JK01806</t>
  </si>
  <si>
    <t>JK01807</t>
  </si>
  <si>
    <t>JK01808</t>
  </si>
  <si>
    <t>JK01809</t>
  </si>
  <si>
    <t>JK01810</t>
  </si>
  <si>
    <t>JK01811</t>
  </si>
  <si>
    <t>JK01812</t>
  </si>
  <si>
    <t>JK01813</t>
  </si>
  <si>
    <t>JK01814</t>
  </si>
  <si>
    <t>JK01815</t>
  </si>
  <si>
    <t>JK01816</t>
  </si>
  <si>
    <t>JK01817</t>
  </si>
  <si>
    <t>JK01818</t>
  </si>
  <si>
    <t>JK01819</t>
  </si>
  <si>
    <t>JK01820</t>
  </si>
  <si>
    <t>JK01821</t>
  </si>
  <si>
    <t>JK01822</t>
  </si>
  <si>
    <t>JK01823</t>
  </si>
  <si>
    <t>JK01824</t>
  </si>
  <si>
    <t>JK01825</t>
  </si>
  <si>
    <t>JK01826</t>
  </si>
  <si>
    <t>JK01827</t>
  </si>
  <si>
    <t>JK01828</t>
  </si>
  <si>
    <t>JK01829</t>
  </si>
  <si>
    <t>JK01830</t>
  </si>
  <si>
    <t>JK01831</t>
  </si>
  <si>
    <t>JK01832</t>
  </si>
  <si>
    <t>JK01833</t>
  </si>
  <si>
    <t>JK01834</t>
  </si>
  <si>
    <t>JK01835</t>
  </si>
  <si>
    <t>JK01836</t>
  </si>
  <si>
    <t>JK01837</t>
  </si>
  <si>
    <t>JK01838</t>
  </si>
  <si>
    <t>JK01839</t>
  </si>
  <si>
    <t>JK01840</t>
  </si>
  <si>
    <t>JK01841</t>
  </si>
  <si>
    <t>JK01842</t>
  </si>
  <si>
    <t>JK01843</t>
  </si>
  <si>
    <t>JK01844</t>
  </si>
  <si>
    <t>JK01845</t>
  </si>
  <si>
    <t>JK01846</t>
  </si>
  <si>
    <t>JK01847</t>
  </si>
  <si>
    <t>JK01848</t>
  </si>
  <si>
    <t>JK01849</t>
  </si>
  <si>
    <t>JK01850</t>
  </si>
  <si>
    <t>JK01851</t>
  </si>
  <si>
    <t>JK01852</t>
  </si>
  <si>
    <t>JK01853</t>
  </si>
  <si>
    <t>JK01854</t>
  </si>
  <si>
    <t>JK01855</t>
  </si>
  <si>
    <t>JK01856</t>
  </si>
  <si>
    <t>JK01857</t>
  </si>
  <si>
    <t>JK01858</t>
  </si>
  <si>
    <t>JK01859</t>
  </si>
  <si>
    <t>JK01860</t>
  </si>
  <si>
    <t>JK01861</t>
  </si>
  <si>
    <t>JK01862</t>
  </si>
  <si>
    <t>JK01863</t>
  </si>
  <si>
    <t>JK01864</t>
  </si>
  <si>
    <t>JK01865</t>
  </si>
  <si>
    <t>JK01866</t>
  </si>
  <si>
    <t>JK01867</t>
  </si>
  <si>
    <t>JK01868</t>
  </si>
  <si>
    <t>JK01869</t>
  </si>
  <si>
    <t>JK01870</t>
  </si>
  <si>
    <t>JK01871</t>
  </si>
  <si>
    <t>JK01872</t>
  </si>
  <si>
    <t>JK01873</t>
  </si>
  <si>
    <t>JK01874</t>
  </si>
  <si>
    <t>JK01875</t>
  </si>
  <si>
    <t>JK01876</t>
  </si>
  <si>
    <t>JK01877</t>
  </si>
  <si>
    <t>JK01878</t>
  </si>
  <si>
    <t>JK01879</t>
  </si>
  <si>
    <t>JK01880</t>
  </si>
  <si>
    <t>JK01881</t>
  </si>
  <si>
    <t>JK01882</t>
  </si>
  <si>
    <t>JK01883</t>
  </si>
  <si>
    <t>JK01884</t>
  </si>
  <si>
    <t>JK01885</t>
  </si>
  <si>
    <t>JK01886</t>
  </si>
  <si>
    <t>JK01887</t>
  </si>
  <si>
    <t>JK01888</t>
  </si>
  <si>
    <t>JK01889</t>
  </si>
  <si>
    <t>JK01890</t>
  </si>
  <si>
    <t>JK01891</t>
  </si>
  <si>
    <t>JK01892</t>
  </si>
  <si>
    <t>JK01893</t>
  </si>
  <si>
    <t>JK01894</t>
  </si>
  <si>
    <t>JK01895</t>
  </si>
  <si>
    <t>JK01896</t>
  </si>
  <si>
    <t>JK01897</t>
  </si>
  <si>
    <t>JK01898</t>
  </si>
  <si>
    <t>JK01899</t>
  </si>
  <si>
    <t>JK01900</t>
  </si>
  <si>
    <t>JK01901</t>
  </si>
  <si>
    <t>JK01902</t>
  </si>
  <si>
    <t>JK01903</t>
  </si>
  <si>
    <t>JK01904</t>
  </si>
  <si>
    <t>JK01905</t>
  </si>
  <si>
    <t>JK01906</t>
  </si>
  <si>
    <t>JK01907</t>
  </si>
  <si>
    <t>JK01908</t>
  </si>
  <si>
    <t>JK01909</t>
  </si>
  <si>
    <t>JK01910</t>
  </si>
  <si>
    <t>JK01911</t>
  </si>
  <si>
    <t>JK01912</t>
  </si>
  <si>
    <t>JK01913</t>
  </si>
  <si>
    <t>JK01914</t>
  </si>
  <si>
    <t>JK01915</t>
  </si>
  <si>
    <t>JK01916</t>
  </si>
  <si>
    <t>JK01917</t>
  </si>
  <si>
    <t>JK01918</t>
  </si>
  <si>
    <t>JK01919</t>
  </si>
  <si>
    <t>JK01920</t>
  </si>
  <si>
    <t>JK01921</t>
  </si>
  <si>
    <t>JK01922</t>
  </si>
  <si>
    <t>JK01923</t>
  </si>
  <si>
    <t>JK01924</t>
  </si>
  <si>
    <t>JK01925</t>
  </si>
  <si>
    <t>JK01926</t>
  </si>
  <si>
    <t>JK01927</t>
  </si>
  <si>
    <t>JK01928</t>
  </si>
  <si>
    <t>JK01929</t>
  </si>
  <si>
    <t>JK01930</t>
  </si>
  <si>
    <t>JK01931</t>
  </si>
  <si>
    <t>JK01932</t>
  </si>
  <si>
    <t>JK01933</t>
  </si>
  <si>
    <t>JK01934</t>
  </si>
  <si>
    <t>JK01935</t>
  </si>
  <si>
    <t>JK01936</t>
  </si>
  <si>
    <t>JK01937</t>
  </si>
  <si>
    <t>JK01938</t>
  </si>
  <si>
    <t>JK01939</t>
  </si>
  <si>
    <t>JK01940</t>
  </si>
  <si>
    <t>JK01941</t>
  </si>
  <si>
    <t>JK01942</t>
  </si>
  <si>
    <t>JK01943</t>
  </si>
  <si>
    <t>JK01944</t>
  </si>
  <si>
    <t>JK01945</t>
  </si>
  <si>
    <t>JK01946</t>
  </si>
  <si>
    <t>JK01947</t>
  </si>
  <si>
    <t>JK01948</t>
  </si>
  <si>
    <t>JK01949</t>
  </si>
  <si>
    <t>JK01950</t>
  </si>
  <si>
    <t>JK01951</t>
  </si>
  <si>
    <t>JK01952</t>
  </si>
  <si>
    <t>JK01953</t>
  </si>
  <si>
    <t>JK01954</t>
  </si>
  <si>
    <t>JK01955</t>
  </si>
  <si>
    <t>JK01956</t>
  </si>
  <si>
    <t>JK01957</t>
  </si>
  <si>
    <t>JK01958</t>
  </si>
  <si>
    <t>JK01959</t>
  </si>
  <si>
    <t>JK01960</t>
  </si>
  <si>
    <t>JK01961</t>
  </si>
  <si>
    <t>JK01962</t>
  </si>
  <si>
    <t>JK01963</t>
  </si>
  <si>
    <t>JK01964</t>
  </si>
  <si>
    <t>JK01965</t>
  </si>
  <si>
    <t>JK01966</t>
  </si>
  <si>
    <t>JK01967</t>
  </si>
  <si>
    <t>JK01968</t>
  </si>
  <si>
    <t>JK01969</t>
  </si>
  <si>
    <t>JK01970</t>
  </si>
  <si>
    <t>JK01971</t>
  </si>
  <si>
    <t>JK01972</t>
  </si>
  <si>
    <t>JK01973</t>
  </si>
  <si>
    <t>JK01974</t>
  </si>
  <si>
    <t>JK01975</t>
  </si>
  <si>
    <t>JK01976</t>
  </si>
  <si>
    <t>JK01977</t>
  </si>
  <si>
    <t>JK01978</t>
  </si>
  <si>
    <t>JK01979</t>
  </si>
  <si>
    <t>JK01980</t>
  </si>
  <si>
    <t>JK01981</t>
  </si>
  <si>
    <t>JK01982</t>
  </si>
  <si>
    <t>JK01983</t>
  </si>
  <si>
    <t>JK01984</t>
  </si>
  <si>
    <t>JK01985</t>
  </si>
  <si>
    <t>JK01986</t>
  </si>
  <si>
    <t>JK01987</t>
  </si>
  <si>
    <t>JK01988</t>
  </si>
  <si>
    <t>JK01989</t>
  </si>
  <si>
    <t>JK01990</t>
  </si>
  <si>
    <t>JK01991</t>
  </si>
  <si>
    <t>JK01992</t>
  </si>
  <si>
    <t>JK01993</t>
  </si>
  <si>
    <t>JK01994</t>
  </si>
  <si>
    <t>JK01995</t>
  </si>
  <si>
    <t>JK01996</t>
  </si>
  <si>
    <t>JK01997</t>
  </si>
  <si>
    <t>JK01998</t>
  </si>
  <si>
    <t>JK01999</t>
  </si>
  <si>
    <t>JK02000</t>
  </si>
  <si>
    <t>Sanjay &amp; Co.</t>
  </si>
  <si>
    <t>JK02001</t>
  </si>
  <si>
    <t>Manish Enterprises</t>
  </si>
  <si>
    <t>JK02002</t>
  </si>
  <si>
    <t>TOTAL NO of INVOICES</t>
  </si>
  <si>
    <t>TOTAL PENDING AMOUNT</t>
  </si>
  <si>
    <t>BALANCE</t>
  </si>
  <si>
    <t>AVERAGE</t>
  </si>
  <si>
    <t>Total</t>
  </si>
  <si>
    <t>PAYMENT CLEARED
(PAID)</t>
  </si>
  <si>
    <t>PAYMENTCLEARANCE
           STATUS</t>
  </si>
  <si>
    <t>ACCOUNTS RECEIVABLE SUMMARY</t>
  </si>
  <si>
    <t>JK02003</t>
  </si>
  <si>
    <t>ATANU ENTERPRISE</t>
  </si>
  <si>
    <t>JK02004</t>
  </si>
  <si>
    <t>JK02005</t>
  </si>
  <si>
    <t>JK02006</t>
  </si>
  <si>
    <t>ATANU ROY</t>
  </si>
  <si>
    <t>atanur328@gmail.com</t>
  </si>
  <si>
    <t>S. No.</t>
  </si>
  <si>
    <t>Item</t>
  </si>
  <si>
    <t>Start Date</t>
  </si>
  <si>
    <t>Validity
(In months)</t>
  </si>
  <si>
    <t>Expires on</t>
  </si>
  <si>
    <t>Days Left</t>
  </si>
  <si>
    <t>Internet</t>
  </si>
  <si>
    <t>Car Insurance</t>
  </si>
  <si>
    <t>Life Insurance</t>
  </si>
  <si>
    <t>Medical Insurance</t>
  </si>
  <si>
    <t>Bike Insurance</t>
  </si>
  <si>
    <t>Road Side Assitance (Car)</t>
  </si>
  <si>
    <t>Electricity Bill (Office)</t>
  </si>
  <si>
    <t>Electricity Bill (Home)</t>
  </si>
  <si>
    <t>RO Service</t>
  </si>
  <si>
    <t>Club Membership</t>
  </si>
  <si>
    <t>Amazon Prime</t>
  </si>
  <si>
    <t>Society Maintenance</t>
  </si>
  <si>
    <t>Health insurance</t>
  </si>
  <si>
    <t>STATE</t>
  </si>
  <si>
    <t>SALES</t>
  </si>
  <si>
    <t>CHECKLIST</t>
  </si>
  <si>
    <t>HARYANA</t>
  </si>
  <si>
    <t>UP</t>
  </si>
  <si>
    <t>UTTARAKHAND</t>
  </si>
  <si>
    <t>RAJASTHAN</t>
  </si>
  <si>
    <t>WEST BENGAL</t>
  </si>
  <si>
    <t>PUNJAB</t>
  </si>
  <si>
    <t>BIHAR</t>
  </si>
  <si>
    <t>JHARKHAND</t>
  </si>
  <si>
    <t>STATEWISE SALES REPORT FOR 2022-23</t>
  </si>
  <si>
    <t>KARNATAKA</t>
  </si>
  <si>
    <t>Task Description</t>
  </si>
  <si>
    <t>Task Duration</t>
  </si>
  <si>
    <t>End Date</t>
  </si>
  <si>
    <t>Demolition</t>
  </si>
  <si>
    <t>Install New Tiles</t>
  </si>
  <si>
    <t>Renovate Current Plumbing</t>
  </si>
  <si>
    <t>Paint Walls &amp; Ceilling</t>
  </si>
  <si>
    <t>Installing New Gates</t>
  </si>
  <si>
    <t>Place New Appliances</t>
  </si>
  <si>
    <t>Renovate Furniture</t>
  </si>
  <si>
    <t>Install New Lighting</t>
  </si>
  <si>
    <t>Plantation Indoor Outdoor</t>
  </si>
  <si>
    <t>Final Delivery With Customer</t>
  </si>
  <si>
    <t>PROJECT NAME</t>
  </si>
  <si>
    <t>PROJECT DURATION</t>
  </si>
  <si>
    <t>START DATE</t>
  </si>
  <si>
    <t>END DATE</t>
  </si>
  <si>
    <t>HOUSE RENOVATION</t>
  </si>
  <si>
    <t>00/01/1900</t>
  </si>
  <si>
    <t>WIRING &amp; ELECTRONIC SUPPLIANCES</t>
  </si>
  <si>
    <t>Sales Person Name</t>
  </si>
  <si>
    <t>Jan</t>
  </si>
  <si>
    <t>Feb</t>
  </si>
  <si>
    <t>Mar</t>
  </si>
  <si>
    <t>Apr</t>
  </si>
  <si>
    <t>May</t>
  </si>
  <si>
    <t>Jun</t>
  </si>
  <si>
    <t>Jul</t>
  </si>
  <si>
    <t>Aug</t>
  </si>
  <si>
    <t>Sep</t>
  </si>
  <si>
    <t>Oct</t>
  </si>
  <si>
    <t>Nov</t>
  </si>
  <si>
    <t>Dec</t>
  </si>
  <si>
    <t>Aniket</t>
  </si>
  <si>
    <t>Sanjay</t>
  </si>
  <si>
    <t>Suraj</t>
  </si>
  <si>
    <t>Shiv Kumar</t>
  </si>
  <si>
    <t>Gaurav</t>
  </si>
  <si>
    <t>Prashant</t>
  </si>
  <si>
    <t>Kuashal</t>
  </si>
  <si>
    <t>Satya</t>
  </si>
  <si>
    <t>Aviral</t>
  </si>
  <si>
    <t>Saket</t>
  </si>
  <si>
    <t>Ved Praksh</t>
  </si>
  <si>
    <t>Sales</t>
  </si>
  <si>
    <t>Sales Value</t>
  </si>
  <si>
    <t>Ved Prakash</t>
  </si>
  <si>
    <t>PIZZA</t>
  </si>
  <si>
    <t>BURGER</t>
  </si>
  <si>
    <t>NAME</t>
  </si>
  <si>
    <t>AGE</t>
  </si>
  <si>
    <t>GENDER</t>
  </si>
  <si>
    <t>MOBILE NUMBER</t>
  </si>
  <si>
    <t>EMAIL ID</t>
  </si>
  <si>
    <t>DEGREE/QUALIFICATION</t>
  </si>
  <si>
    <t>JOB EXPERIENCE</t>
  </si>
  <si>
    <t>MARRITAL STATUS</t>
  </si>
  <si>
    <t>CITY</t>
  </si>
  <si>
    <t>COUNTRY</t>
  </si>
  <si>
    <t>10+2</t>
  </si>
  <si>
    <t>GRADUATE(HONS.)</t>
  </si>
  <si>
    <t>GRADUATE(GEN)</t>
  </si>
  <si>
    <t>POSTGRADUATE</t>
  </si>
  <si>
    <t>Ph.D</t>
  </si>
  <si>
    <t>DIPLOMA</t>
  </si>
  <si>
    <t>OTHERS</t>
  </si>
  <si>
    <t>FRESHER</t>
  </si>
  <si>
    <t>1 YEAR EXP.</t>
  </si>
  <si>
    <t>1+1/2 YEARS EXP.</t>
  </si>
  <si>
    <t>2 YEARS EXP.</t>
  </si>
  <si>
    <t>2+1/2 YEAR EXP.</t>
  </si>
  <si>
    <t>3 YEARS EXP.</t>
  </si>
  <si>
    <t>3+ YEARS EXP.</t>
  </si>
  <si>
    <t>UNMARRIED(SINGLE)</t>
  </si>
  <si>
    <t>MARRIED</t>
  </si>
  <si>
    <t>DIVORCED</t>
  </si>
  <si>
    <t>SEPARATE</t>
  </si>
  <si>
    <t>WIDOWED</t>
  </si>
  <si>
    <t>পোর্ট ব্লেয়ার</t>
  </si>
  <si>
    <t>অন্ধ্র প্রদেশ</t>
  </si>
  <si>
    <t>অ্যাডোনি</t>
  </si>
  <si>
    <t>অমরাবতী</t>
  </si>
  <si>
    <t>অনন্তপুর</t>
  </si>
  <si>
    <t>চন্দ্রগিরি</t>
  </si>
  <si>
    <t>চিত্তুর</t>
  </si>
  <si>
    <t>দৌলাইশ্বরম</t>
  </si>
  <si>
    <t>এলুরু</t>
  </si>
  <si>
    <t>গুন্টুর</t>
  </si>
  <si>
    <t>কাদাপা</t>
  </si>
  <si>
    <t>কাকিনাদা</t>
  </si>
  <si>
    <t>কুর্নুল</t>
  </si>
  <si>
    <t>মাছলিপত্তনম</t>
  </si>
  <si>
    <t>নাগার্জুনকোণ্ড</t>
  </si>
  <si>
    <t>রাজমুন্দ্রি</t>
  </si>
  <si>
    <t>শ্রীকাকুলাম</t>
  </si>
  <si>
    <t>তিরুপতি</t>
  </si>
  <si>
    <t>বিজয়ওয়াড়া</t>
  </si>
  <si>
    <t>বিশাখাপত্তনম</t>
  </si>
  <si>
    <t>ভিজিয়ানগরাম</t>
  </si>
  <si>
    <t>ইয়েম্মিগানুর</t>
  </si>
  <si>
    <t>অরুণাচল প্রদেশ</t>
  </si>
  <si>
    <t>ইটানগর</t>
  </si>
  <si>
    <t>আসাম</t>
  </si>
  <si>
    <t>ধুবুড়ি</t>
  </si>
  <si>
    <t>ডিব্রুগড়</t>
  </si>
  <si>
    <t>দিসপুর</t>
  </si>
  <si>
    <t>গুয়াহাটি</t>
  </si>
  <si>
    <t>জোড়হাট</t>
  </si>
  <si>
    <t>নগাঁও</t>
  </si>
  <si>
    <t>শিবসাগর</t>
  </si>
  <si>
    <t>শিলচর</t>
  </si>
  <si>
    <t>তেজপুর</t>
  </si>
  <si>
    <t>তিনসুকিয়া</t>
  </si>
  <si>
    <t>বিহার</t>
  </si>
  <si>
    <t>আরা</t>
  </si>
  <si>
    <t>বারাউনি</t>
  </si>
  <si>
    <t>বেগুসরাই</t>
  </si>
  <si>
    <t>বেত্তিয়া</t>
  </si>
  <si>
    <t>ভাগলপুর</t>
  </si>
  <si>
    <t>বিহার শরীফ</t>
  </si>
  <si>
    <t>বোধগয়া</t>
  </si>
  <si>
    <t>বক্সার</t>
  </si>
  <si>
    <t>চাপড়া</t>
  </si>
  <si>
    <t>দারভাঙ্গা</t>
  </si>
  <si>
    <t>দেহরি</t>
  </si>
  <si>
    <t>দিনাপুর নিজামত</t>
  </si>
  <si>
    <t>গয়া</t>
  </si>
  <si>
    <t>হাজীপুর</t>
  </si>
  <si>
    <t>জামালপুর</t>
  </si>
  <si>
    <t>কাটিহার</t>
  </si>
  <si>
    <t>মধুবনী</t>
  </si>
  <si>
    <t>মতিহারী</t>
  </si>
  <si>
    <t>মুঙ্গের</t>
  </si>
  <si>
    <t>মুজাফফরপুর</t>
  </si>
  <si>
    <t>পাটনা</t>
  </si>
  <si>
    <t>পূর্ণিয়া</t>
  </si>
  <si>
    <t>পুসা</t>
  </si>
  <si>
    <t>সহরসা</t>
  </si>
  <si>
    <t>সমষ্টিপুর</t>
  </si>
  <si>
    <t>সাসারাম</t>
  </si>
  <si>
    <t>সীতামারহি</t>
  </si>
  <si>
    <t>সিওয়ান</t>
  </si>
  <si>
    <t>চণ্ডীগড় (কেন্দ্রশাসিত অঞ্চল)</t>
  </si>
  <si>
    <t>চণ্ডীগড়</t>
  </si>
  <si>
    <t>ছত্তিশগড়</t>
  </si>
  <si>
    <t>অম্বিকাপুর</t>
  </si>
  <si>
    <t>ভিলাই</t>
  </si>
  <si>
    <t>বিলাসপুর</t>
  </si>
  <si>
    <t>ধামতরি</t>
  </si>
  <si>
    <t>দুর্গ</t>
  </si>
  <si>
    <t>জগদলপুর</t>
  </si>
  <si>
    <t>রায়পুর</t>
  </si>
  <si>
    <t>রাজনন্দগাঁও</t>
  </si>
  <si>
    <t>দাদরা ও নগর হাভেলি এবং দমন ও দিউ (কেন্দ্রশাসিত অঞ্চল)</t>
  </si>
  <si>
    <t>দমন</t>
  </si>
  <si>
    <t>দিউ</t>
  </si>
  <si>
    <t>সিলভাসা</t>
  </si>
  <si>
    <t>দিল্লি (জাতীয় রাজধানী অঞ্চল)</t>
  </si>
  <si>
    <t>দিল্লী</t>
  </si>
  <si>
    <t>নতুন দিল্লি</t>
  </si>
  <si>
    <t>গোয়া</t>
  </si>
  <si>
    <t>মাদগাঁও</t>
  </si>
  <si>
    <t>পানাজি</t>
  </si>
  <si>
    <t>গুজরাট</t>
  </si>
  <si>
    <t>আহমেদাবাদ</t>
  </si>
  <si>
    <t>আমরেলি</t>
  </si>
  <si>
    <t>ভারুচ</t>
  </si>
  <si>
    <t>ভাবনগর</t>
  </si>
  <si>
    <t>ভুজ</t>
  </si>
  <si>
    <t>দ্বারকা</t>
  </si>
  <si>
    <t>গান্ধীনগর</t>
  </si>
  <si>
    <t>গোধরা</t>
  </si>
  <si>
    <t>জামনগর</t>
  </si>
  <si>
    <t>জুনাগড়</t>
  </si>
  <si>
    <t>কান্ডলা</t>
  </si>
  <si>
    <t>খাম্বাত</t>
  </si>
  <si>
    <t>খেদা</t>
  </si>
  <si>
    <t>মহেসানা</t>
  </si>
  <si>
    <t>মরবি</t>
  </si>
  <si>
    <t>নদিয়াদ</t>
  </si>
  <si>
    <t>নবসারী</t>
  </si>
  <si>
    <t>ওখা</t>
  </si>
  <si>
    <t>পালনপুর</t>
  </si>
  <si>
    <t>পাটন</t>
  </si>
  <si>
    <t>পোরবন্দর</t>
  </si>
  <si>
    <t>রাজকোট</t>
  </si>
  <si>
    <t>সুরাট</t>
  </si>
  <si>
    <t>সুরেন্দ্রনগর</t>
  </si>
  <si>
    <t>ভালসাদ</t>
  </si>
  <si>
    <t>ভেরাভাল</t>
  </si>
  <si>
    <t>হরিয়ানা</t>
  </si>
  <si>
    <t>আম্বালা</t>
  </si>
  <si>
    <t>ভিওয়ানি</t>
  </si>
  <si>
    <t>ফরিদাবাদ</t>
  </si>
  <si>
    <t>ফিরোজপুর ঝিরকা</t>
  </si>
  <si>
    <t>গুরুগ্রাম</t>
  </si>
  <si>
    <t>হ্যান্সি</t>
  </si>
  <si>
    <t>হিসার</t>
  </si>
  <si>
    <t>জিন্দ</t>
  </si>
  <si>
    <t>কাইথাল</t>
  </si>
  <si>
    <t>কর্নাল</t>
  </si>
  <si>
    <t>কুরুক্ষেত্র</t>
  </si>
  <si>
    <t>পানিপথ</t>
  </si>
  <si>
    <t>পেহোয়া</t>
  </si>
  <si>
    <t>রেওয়াড়ি</t>
  </si>
  <si>
    <t>রোহতক</t>
  </si>
  <si>
    <t>সিরসা</t>
  </si>
  <si>
    <t>সোনিপত</t>
  </si>
  <si>
    <t>হিমাচল প্রদেশ</t>
  </si>
  <si>
    <t>চাম্বা</t>
  </si>
  <si>
    <t>ডালহৌসি</t>
  </si>
  <si>
    <t>ধর্মশালা</t>
  </si>
  <si>
    <t>হামিরপুর</t>
  </si>
  <si>
    <t>কাংড়া</t>
  </si>
  <si>
    <t>কুল্লু</t>
  </si>
  <si>
    <t>মান্ডি</t>
  </si>
  <si>
    <t>নাহান</t>
  </si>
  <si>
    <t>সিমলা</t>
  </si>
  <si>
    <t>উনা</t>
  </si>
  <si>
    <t>জম্মু ও কাশ্মীর (কেন্দ্রশাসিত অঞ্চল)</t>
  </si>
  <si>
    <t>অনন্তনাগ</t>
  </si>
  <si>
    <t>বড়মুলা</t>
  </si>
  <si>
    <t>ডোডা</t>
  </si>
  <si>
    <t>গুলমার্গ</t>
  </si>
  <si>
    <t>জম্মু</t>
  </si>
  <si>
    <t>কাঠুয়া</t>
  </si>
  <si>
    <t>ঘুষি</t>
  </si>
  <si>
    <t>রাজৌরি</t>
  </si>
  <si>
    <t>শ্রীনগর</t>
  </si>
  <si>
    <t>উধমপুর</t>
  </si>
  <si>
    <t>ঝাড়খণ্ড</t>
  </si>
  <si>
    <t>বোকারো</t>
  </si>
  <si>
    <t>চাইবাসা</t>
  </si>
  <si>
    <t>দেওঘর</t>
  </si>
  <si>
    <t>ধানবাদ</t>
  </si>
  <si>
    <t>দুমকা</t>
  </si>
  <si>
    <t>গিরিডিহ</t>
  </si>
  <si>
    <t>হাজারীবাগ</t>
  </si>
  <si>
    <t>জামশেদপুর</t>
  </si>
  <si>
    <t>ঝরিয়া</t>
  </si>
  <si>
    <t>রাজমহল</t>
  </si>
  <si>
    <t>রাঁচি</t>
  </si>
  <si>
    <t>সরাইকেলা</t>
  </si>
  <si>
    <t>কর্ণাটক</t>
  </si>
  <si>
    <t>বাদামি</t>
  </si>
  <si>
    <t>বল্লারি</t>
  </si>
  <si>
    <t>বেঙ্গালুরু</t>
  </si>
  <si>
    <t>বেলাগাভি</t>
  </si>
  <si>
    <t>ভদ্রাবতী</t>
  </si>
  <si>
    <t>বিদার</t>
  </si>
  <si>
    <t>চিক্কামগালুরু</t>
  </si>
  <si>
    <t>চিত্রদুর্গা</t>
  </si>
  <si>
    <t>দাভাঙ্গেরে</t>
  </si>
  <si>
    <t>হালেবিদ</t>
  </si>
  <si>
    <t>হাসান</t>
  </si>
  <si>
    <t>হুবলি-ধারওয়াড়</t>
  </si>
  <si>
    <t>কলবুরাগী</t>
  </si>
  <si>
    <t>কোলার</t>
  </si>
  <si>
    <t>মাদিকেরি</t>
  </si>
  <si>
    <t>মান্ড্যা</t>
  </si>
  <si>
    <t>ম্যাঙ্গালুরু</t>
  </si>
  <si>
    <t>মাইসুরু</t>
  </si>
  <si>
    <t>রায়চুর</t>
  </si>
  <si>
    <t>শিবমোগা</t>
  </si>
  <si>
    <t>শ্রাবণবেলগোলা</t>
  </si>
  <si>
    <t>শ্রীরঙ্গপত্তন</t>
  </si>
  <si>
    <t>তুমাকুরু</t>
  </si>
  <si>
    <t>বিজয়পুরা</t>
  </si>
  <si>
    <t>কেরালা</t>
  </si>
  <si>
    <t>আলাপ্পুঝা</t>
  </si>
  <si>
    <t>ভাতকার</t>
  </si>
  <si>
    <t>ইদুক্কি</t>
  </si>
  <si>
    <t>কান্নুর</t>
  </si>
  <si>
    <t>কোচি</t>
  </si>
  <si>
    <t>কোল্লাম</t>
  </si>
  <si>
    <t>কোট্টায়াম</t>
  </si>
  <si>
    <t>কোঝিকোড়</t>
  </si>
  <si>
    <t>মাত্তনচেরি</t>
  </si>
  <si>
    <t>পালাক্কাদ</t>
  </si>
  <si>
    <t>থ্যালাসেরি</t>
  </si>
  <si>
    <t>তিরুবনন্তপুরম</t>
  </si>
  <si>
    <t>ত্রিশুর</t>
  </si>
  <si>
    <t>লাদাখ (কেন্দ্রশাসিত অঞ্চল)</t>
  </si>
  <si>
    <t>কার্গিল</t>
  </si>
  <si>
    <t>লেহ</t>
  </si>
  <si>
    <t>মধ্য প্রদেশ</t>
  </si>
  <si>
    <t>বালাঘাট</t>
  </si>
  <si>
    <t>বারওয়ানি</t>
  </si>
  <si>
    <t>বেতুল</t>
  </si>
  <si>
    <t>ভারহুত</t>
  </si>
  <si>
    <t>ভিন্ড</t>
  </si>
  <si>
    <t>ভোজপুর</t>
  </si>
  <si>
    <t>ভোপাল</t>
  </si>
  <si>
    <t>বুরহানপুর</t>
  </si>
  <si>
    <t>ছতরপুর</t>
  </si>
  <si>
    <t>ছিন্দওয়ারা</t>
  </si>
  <si>
    <t>দামোহ</t>
  </si>
  <si>
    <t>দাতিয়া</t>
  </si>
  <si>
    <t>দেওয়াস</t>
  </si>
  <si>
    <t>ধর</t>
  </si>
  <si>
    <t>ডঃ আম্বেদকর নগর (মহু)</t>
  </si>
  <si>
    <t>গুনা</t>
  </si>
  <si>
    <t>গোয়ালিয়র</t>
  </si>
  <si>
    <t>হোশাঙ্গাবাদ</t>
  </si>
  <si>
    <t>ইন্দোর</t>
  </si>
  <si>
    <t>ইটারসি</t>
  </si>
  <si>
    <t>জবলপুর</t>
  </si>
  <si>
    <t>ঝাবুয়া</t>
  </si>
  <si>
    <t>খাজুরাহো</t>
  </si>
  <si>
    <t>খান্ডোয়া</t>
  </si>
  <si>
    <t>খারগোনে</t>
  </si>
  <si>
    <t>মহেশ্বর</t>
  </si>
  <si>
    <t>মন্ডলা</t>
  </si>
  <si>
    <t>মান্দসৌর</t>
  </si>
  <si>
    <t>মোরেনা</t>
  </si>
  <si>
    <t>মুরওয়ারা</t>
  </si>
  <si>
    <t>নরসিংহপুর</t>
  </si>
  <si>
    <t>নরসিংহগড়</t>
  </si>
  <si>
    <t>নারওয়ার</t>
  </si>
  <si>
    <t>নিমুচ</t>
  </si>
  <si>
    <t>নওগং</t>
  </si>
  <si>
    <t>ওরছা</t>
  </si>
  <si>
    <t>পান্না</t>
  </si>
  <si>
    <t>রাইসেন</t>
  </si>
  <si>
    <t>রাজগড়</t>
  </si>
  <si>
    <t>রাতলাম</t>
  </si>
  <si>
    <t>রেওয়া</t>
  </si>
  <si>
    <t>সাগর</t>
  </si>
  <si>
    <t>সারাংপুর</t>
  </si>
  <si>
    <t>সাতনা</t>
  </si>
  <si>
    <t>সিহোর</t>
  </si>
  <si>
    <t>সিওনি</t>
  </si>
  <si>
    <t>শাহদোল</t>
  </si>
  <si>
    <t>শাজাপুর</t>
  </si>
  <si>
    <t>শেওপুর</t>
  </si>
  <si>
    <t>শিবপুরী</t>
  </si>
  <si>
    <t>উজ্জয়িন</t>
  </si>
  <si>
    <t>বিদিশা</t>
  </si>
  <si>
    <t>মহারাষ্ট্র</t>
  </si>
  <si>
    <t>আহমদনগর</t>
  </si>
  <si>
    <t>আকোলা</t>
  </si>
  <si>
    <t>ঔরঙ্গাবাদ</t>
  </si>
  <si>
    <t>ভান্ডারা</t>
  </si>
  <si>
    <t>ভুসাওয়াল</t>
  </si>
  <si>
    <t>বিড</t>
  </si>
  <si>
    <t>বুলধানা</t>
  </si>
  <si>
    <t>চন্দ্রপুর</t>
  </si>
  <si>
    <t>দৌলতাবাদ</t>
  </si>
  <si>
    <t>ধুলে</t>
  </si>
  <si>
    <t>জলগাঁও</t>
  </si>
  <si>
    <t>কল্যান</t>
  </si>
  <si>
    <t>করলি</t>
  </si>
  <si>
    <t>কোলহাপুর</t>
  </si>
  <si>
    <t>মহাবালেশ্বর</t>
  </si>
  <si>
    <t>মালেগাঁও</t>
  </si>
  <si>
    <t>মাথেরান</t>
  </si>
  <si>
    <t>মুম্বাই</t>
  </si>
  <si>
    <t>নাগপুর</t>
  </si>
  <si>
    <t>নান্দেদ</t>
  </si>
  <si>
    <t>নাসিক</t>
  </si>
  <si>
    <t>ওসমানবাদ</t>
  </si>
  <si>
    <t>পন্ধরপুর</t>
  </si>
  <si>
    <t>পারভানি</t>
  </si>
  <si>
    <t>পুনে</t>
  </si>
  <si>
    <t>রত্নাগিরি</t>
  </si>
  <si>
    <t>সাংলি</t>
  </si>
  <si>
    <t>সাতারা</t>
  </si>
  <si>
    <t>সেবাগ্রাম</t>
  </si>
  <si>
    <t>সোলাপুর</t>
  </si>
  <si>
    <t>থানে</t>
  </si>
  <si>
    <t>উলহাসনগর</t>
  </si>
  <si>
    <t>ভাসাই-ভিরার</t>
  </si>
  <si>
    <t>ওয়ার্ধা</t>
  </si>
  <si>
    <t>ইয়াবতমাল</t>
  </si>
  <si>
    <t>মণিপুর</t>
  </si>
  <si>
    <t>ইম্ফল</t>
  </si>
  <si>
    <t>মেঘালয়</t>
  </si>
  <si>
    <t>চেরাপুঞ্জি</t>
  </si>
  <si>
    <t>শিলং</t>
  </si>
  <si>
    <t>মিজোরাম</t>
  </si>
  <si>
    <t>আইজল</t>
  </si>
  <si>
    <t>লুংলেই</t>
  </si>
  <si>
    <t>নাগাল্যান্ড</t>
  </si>
  <si>
    <t>কোহিমা</t>
  </si>
  <si>
    <t>সোম</t>
  </si>
  <si>
    <t>ফেক</t>
  </si>
  <si>
    <t>জুনহেবোতো</t>
  </si>
  <si>
    <t>ওড়িশা</t>
  </si>
  <si>
    <t>বালাঙ্গীর</t>
  </si>
  <si>
    <t>বলেশ্বর</t>
  </si>
  <si>
    <t>বারিপদ</t>
  </si>
  <si>
    <t>ভুবনেশ্বর</t>
  </si>
  <si>
    <t>ব্রহ্মপুর</t>
  </si>
  <si>
    <t>কটক</t>
  </si>
  <si>
    <t>ঢেঁকানাল</t>
  </si>
  <si>
    <t>কেন্দুঝার</t>
  </si>
  <si>
    <t>কোনার্ক</t>
  </si>
  <si>
    <t>কোরাপুট</t>
  </si>
  <si>
    <t>পারাদীপ</t>
  </si>
  <si>
    <t>ফুলবণী</t>
  </si>
  <si>
    <t>পুরী</t>
  </si>
  <si>
    <t>সম্বলপুর</t>
  </si>
  <si>
    <t>উদয়গিরি</t>
  </si>
  <si>
    <t>পুদুচেরি (কেন্দ্রশাসিত অঞ্চল)</t>
  </si>
  <si>
    <t>কারাইকাল</t>
  </si>
  <si>
    <t>মাহে</t>
  </si>
  <si>
    <t>পুদুচেরি</t>
  </si>
  <si>
    <t>ইয়ানাম</t>
  </si>
  <si>
    <t>পাঞ্জাব</t>
  </si>
  <si>
    <t>অমৃতসর</t>
  </si>
  <si>
    <t>বটতলা</t>
  </si>
  <si>
    <t>ফরিদকোট</t>
  </si>
  <si>
    <t>ফিরোজপুর</t>
  </si>
  <si>
    <t>গুরুদাসপুর</t>
  </si>
  <si>
    <t>হোশিয়ারপুর</t>
  </si>
  <si>
    <t>জলন্ধর</t>
  </si>
  <si>
    <t>কাপুরথালা</t>
  </si>
  <si>
    <t>লুধিয়ানা</t>
  </si>
  <si>
    <t>নাভা</t>
  </si>
  <si>
    <t>পাতিয়ালা</t>
  </si>
  <si>
    <t>রূপনগর</t>
  </si>
  <si>
    <t>সাঙ্গরুর</t>
  </si>
  <si>
    <t>রাজস্থান</t>
  </si>
  <si>
    <t>আবু</t>
  </si>
  <si>
    <t>আজমীর</t>
  </si>
  <si>
    <t>আলওয়ার</t>
  </si>
  <si>
    <t>আমের</t>
  </si>
  <si>
    <t>বারমের</t>
  </si>
  <si>
    <t>বেওয়ার</t>
  </si>
  <si>
    <t>ভরতপুর</t>
  </si>
  <si>
    <t>ভিলওয়াড়া</t>
  </si>
  <si>
    <t>বিকানের</t>
  </si>
  <si>
    <t>বুন্দি</t>
  </si>
  <si>
    <t>চিত্তৌড়গড়</t>
  </si>
  <si>
    <t>চুরু</t>
  </si>
  <si>
    <t>ধৌলপুর</t>
  </si>
  <si>
    <t>ডুঙ্গারপুর</t>
  </si>
  <si>
    <t>গঙ্গানগর</t>
  </si>
  <si>
    <t>হনুমানগড়</t>
  </si>
  <si>
    <t>জয়পুর</t>
  </si>
  <si>
    <t>জয়সলমীর</t>
  </si>
  <si>
    <t>জালোর</t>
  </si>
  <si>
    <t>ঝালাওয়ার</t>
  </si>
  <si>
    <t>ঝুনঝুনু</t>
  </si>
  <si>
    <t>যোধপুর</t>
  </si>
  <si>
    <t>কিষাণগড়</t>
  </si>
  <si>
    <t>কোটা</t>
  </si>
  <si>
    <t>মের্তা</t>
  </si>
  <si>
    <t>নাগৌর</t>
  </si>
  <si>
    <t>নাথদ্বারা</t>
  </si>
  <si>
    <t>পালি</t>
  </si>
  <si>
    <t>ফালোদি</t>
  </si>
  <si>
    <t>পুষ্কর</t>
  </si>
  <si>
    <t>সাওয়াই মাধোপুর</t>
  </si>
  <si>
    <t>শাহপুরা</t>
  </si>
  <si>
    <t>সিকার</t>
  </si>
  <si>
    <t>সিরোহি</t>
  </si>
  <si>
    <t>টঙ্ক</t>
  </si>
  <si>
    <t>উদয়পুর</t>
  </si>
  <si>
    <t>সিকিম</t>
  </si>
  <si>
    <t>গ্যাংটক</t>
  </si>
  <si>
    <t>গ্যালশিং</t>
  </si>
  <si>
    <t>লাচুং</t>
  </si>
  <si>
    <t>মানগান</t>
  </si>
  <si>
    <t>তামিলনাড়ু</t>
  </si>
  <si>
    <t>আর্কট</t>
  </si>
  <si>
    <t>চেঙ্গলপাট্টু</t>
  </si>
  <si>
    <t>চেন্নাই</t>
  </si>
  <si>
    <t>চিদাম্বরম</t>
  </si>
  <si>
    <t>কোয়েম্বাটুর</t>
  </si>
  <si>
    <t>চুদালোরে</t>
  </si>
  <si>
    <t>ধর্মপুরী</t>
  </si>
  <si>
    <t>ডিন্ডিগুল</t>
  </si>
  <si>
    <t>ইরোড</t>
  </si>
  <si>
    <t>কাঞ্চিপুরম</t>
  </si>
  <si>
    <t>কন্যাকুমারী</t>
  </si>
  <si>
    <t>কোডাইকানাল</t>
  </si>
  <si>
    <t>কুম্ভকোনম</t>
  </si>
  <si>
    <t>মাদুরাই</t>
  </si>
  <si>
    <t>মামাল্লাপুরম</t>
  </si>
  <si>
    <t>নাগাপট্টিনাম</t>
  </si>
  <si>
    <t>নাগেরকয়েল</t>
  </si>
  <si>
    <t>পালায়মকোট্টই</t>
  </si>
  <si>
    <t>পুদুক্কোত্তই</t>
  </si>
  <si>
    <t>রাজাপালায়ম</t>
  </si>
  <si>
    <t>রামানাথপুরম</t>
  </si>
  <si>
    <t>সালেম</t>
  </si>
  <si>
    <t>তাঞ্জাভুর</t>
  </si>
  <si>
    <t>তিরুচ্চিরাপল্লী</t>
  </si>
  <si>
    <t>তিরুনেলভেলি</t>
  </si>
  <si>
    <t>তিরুপুর</t>
  </si>
  <si>
    <t>থুথুকুদি</t>
  </si>
  <si>
    <t>উদগমণ্ডলম</t>
  </si>
  <si>
    <t>ভেলোর</t>
  </si>
  <si>
    <t>তেলেঙ্গানা</t>
  </si>
  <si>
    <t>হায়দ্রাবাদ</t>
  </si>
  <si>
    <t>করিমনগর</t>
  </si>
  <si>
    <t>খাম্মাম</t>
  </si>
  <si>
    <t>মাহবুবনগর</t>
  </si>
  <si>
    <t>নিজামবাদ</t>
  </si>
  <si>
    <t>সাঙ্গারেদ্দি</t>
  </si>
  <si>
    <t>ওয়ারঙ্গল</t>
  </si>
  <si>
    <t>ত্রিপুরা</t>
  </si>
  <si>
    <t>আগরতলা</t>
  </si>
  <si>
    <t>উত্তর প্রদেশ</t>
  </si>
  <si>
    <t>আগ্রা</t>
  </si>
  <si>
    <t>আলীগড়</t>
  </si>
  <si>
    <t>আমরোহা</t>
  </si>
  <si>
    <t>অযোধ্যা</t>
  </si>
  <si>
    <t>আজমগড়</t>
  </si>
  <si>
    <t>বাহরাইচ</t>
  </si>
  <si>
    <t>বালিয়া</t>
  </si>
  <si>
    <t>বান্দা</t>
  </si>
  <si>
    <t>বড় বাঁকি</t>
  </si>
  <si>
    <t>বেরেলি</t>
  </si>
  <si>
    <t>বস্তি</t>
  </si>
  <si>
    <t>বিজনোর</t>
  </si>
  <si>
    <t>বিথুর</t>
  </si>
  <si>
    <t>বুদাউন</t>
  </si>
  <si>
    <t>বুলন্দশহর</t>
  </si>
  <si>
    <t>দেওরিয়া</t>
  </si>
  <si>
    <t>ইটাহ</t>
  </si>
  <si>
    <t>ইটাওয়াহ</t>
  </si>
  <si>
    <t>ফৈজাবাদ</t>
  </si>
  <si>
    <t>ফারুখাবাদ-কাম-ফতেহগড়</t>
  </si>
  <si>
    <t>ফতেহপুর</t>
  </si>
  <si>
    <t>ফতেপুর সিক্রি</t>
  </si>
  <si>
    <t>গাজিয়াবাদ</t>
  </si>
  <si>
    <t>গাজীপুর</t>
  </si>
  <si>
    <t>গোন্ডা</t>
  </si>
  <si>
    <t>গোরখপুর</t>
  </si>
  <si>
    <t>হারদোই</t>
  </si>
  <si>
    <t>হাতরাস</t>
  </si>
  <si>
    <t>জালাউন</t>
  </si>
  <si>
    <t>জৌনপুর</t>
  </si>
  <si>
    <t>ঝাঁসি</t>
  </si>
  <si>
    <t>কনৌজ</t>
  </si>
  <si>
    <t>কানপুর</t>
  </si>
  <si>
    <t>লখিমপুর</t>
  </si>
  <si>
    <t>ললিতপুর</t>
  </si>
  <si>
    <t>লখনউ</t>
  </si>
  <si>
    <t>মইনপুরী</t>
  </si>
  <si>
    <t>মথুরা</t>
  </si>
  <si>
    <t>মিরাট</t>
  </si>
  <si>
    <t>মির্জাপুর-বিন্ধ্যাচল</t>
  </si>
  <si>
    <t>মোরাদাবাদ</t>
  </si>
  <si>
    <t>মুজাফফরনগর</t>
  </si>
  <si>
    <t>প্রতাপগড়</t>
  </si>
  <si>
    <t>পিলিভীত</t>
  </si>
  <si>
    <t>প্রয়াগরাজ</t>
  </si>
  <si>
    <t>রায়বেরেলি</t>
  </si>
  <si>
    <t>রামপুর</t>
  </si>
  <si>
    <t>সাহারানপুর</t>
  </si>
  <si>
    <t>সম্বল</t>
  </si>
  <si>
    <t>শাহজাহানপুর</t>
  </si>
  <si>
    <t>সীতাপুর</t>
  </si>
  <si>
    <t>সুলতানপুর</t>
  </si>
  <si>
    <t>তেহরি</t>
  </si>
  <si>
    <t>বারাণসী</t>
  </si>
  <si>
    <t>উত্তরাখণ্ড</t>
  </si>
  <si>
    <t>আলমোড়া</t>
  </si>
  <si>
    <t>দেরাদুন</t>
  </si>
  <si>
    <t>হরিদ্বার</t>
  </si>
  <si>
    <t>মুসৌরি</t>
  </si>
  <si>
    <t>নৈনিতাল</t>
  </si>
  <si>
    <t>পিথোরাগড়</t>
  </si>
  <si>
    <t>পশ্চিমবঙ্গ</t>
  </si>
  <si>
    <t>আলিপুর</t>
  </si>
  <si>
    <t>আলিপুর দুয়ার</t>
  </si>
  <si>
    <t>আসানসোল</t>
  </si>
  <si>
    <t>বহরমপুর</t>
  </si>
  <si>
    <t>বালি</t>
  </si>
  <si>
    <t>বালুরঘাট</t>
  </si>
  <si>
    <t>বাঁকুড়া</t>
  </si>
  <si>
    <t>বরানগর</t>
  </si>
  <si>
    <t>বারাসত</t>
  </si>
  <si>
    <t>ব্যারাকপুর</t>
  </si>
  <si>
    <t>বসিরহাট</t>
  </si>
  <si>
    <t>ভাটপাড়া</t>
  </si>
  <si>
    <t>বিষ্ণুপুর</t>
  </si>
  <si>
    <t>বজ বজ</t>
  </si>
  <si>
    <t>বর্ধমান</t>
  </si>
  <si>
    <t>চন্দননগর</t>
  </si>
  <si>
    <t>দার্জিলিং</t>
  </si>
  <si>
    <t>ডায়মন্ড হারবার</t>
  </si>
  <si>
    <t>দমদম</t>
  </si>
  <si>
    <t>দুর্গাপুর</t>
  </si>
  <si>
    <t>হালিশহর</t>
  </si>
  <si>
    <t>হাওরা</t>
  </si>
  <si>
    <t>হুগলি</t>
  </si>
  <si>
    <t>ইংরাজ বাজার</t>
  </si>
  <si>
    <t>জলপাইগুড়ি</t>
  </si>
  <si>
    <t>কালিম্পং</t>
  </si>
  <si>
    <t>কামারহাটি</t>
  </si>
  <si>
    <t>কাঁচরাপাড়া</t>
  </si>
  <si>
    <t>খড়গপুর</t>
  </si>
  <si>
    <t>কোচবিহার</t>
  </si>
  <si>
    <t>কলকাতা</t>
  </si>
  <si>
    <t>কৃষ্ণনগর</t>
  </si>
  <si>
    <t>মালদা</t>
  </si>
  <si>
    <t>মেদিনীপুর</t>
  </si>
  <si>
    <t>মুর্শিদাবাদ</t>
  </si>
  <si>
    <t>নবদ্বীপ</t>
  </si>
  <si>
    <t>পলাশী</t>
  </si>
  <si>
    <t>পানিহাটি</t>
  </si>
  <si>
    <t>পুরুলিয়া</t>
  </si>
  <si>
    <t>রায়গঞ্জ</t>
  </si>
  <si>
    <t>শান্তিপুর</t>
  </si>
  <si>
    <t>শান্তিনিকেতন</t>
  </si>
  <si>
    <t>শ্রীরামপুর</t>
  </si>
  <si>
    <t>শিলিগুড়ি</t>
  </si>
  <si>
    <t>সিউরি</t>
  </si>
  <si>
    <t>তমলুক</t>
  </si>
  <si>
    <t>টিটাগড়</t>
  </si>
  <si>
    <t>Andaman and Nicobar Islands</t>
  </si>
  <si>
    <t>Andhra Pradesh</t>
  </si>
  <si>
    <t>Arunachal Pradesh</t>
  </si>
  <si>
    <t>Assam</t>
  </si>
  <si>
    <t>Bihar</t>
  </si>
  <si>
    <t>Chandigarh</t>
  </si>
  <si>
    <t>Chhattisgarh</t>
  </si>
  <si>
    <t>Dadra and Nagar Haveli and Daman and Diu</t>
  </si>
  <si>
    <t>Delhi</t>
  </si>
  <si>
    <t>Goa</t>
  </si>
  <si>
    <t>Gujarat</t>
  </si>
  <si>
    <t>Haryana</t>
  </si>
  <si>
    <t>Himachal Pradesh</t>
  </si>
  <si>
    <t>Jammu and Kashmir</t>
  </si>
  <si>
    <t>Jharkhand</t>
  </si>
  <si>
    <t>Karnataka</t>
  </si>
  <si>
    <t>Kerala</t>
  </si>
  <si>
    <t>Ladakh</t>
  </si>
  <si>
    <t>Lakshadweep</t>
  </si>
  <si>
    <t>Madhya Pradesh</t>
  </si>
  <si>
    <t>Maharashtra</t>
  </si>
  <si>
    <t>Manipur</t>
  </si>
  <si>
    <t>Meghalaya</t>
  </si>
  <si>
    <t>Mizoram</t>
  </si>
  <si>
    <t>Nagaland</t>
  </si>
  <si>
    <t>Odisha</t>
  </si>
  <si>
    <t>Puducherry</t>
  </si>
  <si>
    <t>Punjab</t>
  </si>
  <si>
    <t>Rajasthan</t>
  </si>
  <si>
    <t>Sikkim</t>
  </si>
  <si>
    <t>Tamil Nadu</t>
  </si>
  <si>
    <t>Telangana</t>
  </si>
  <si>
    <t>Tripura</t>
  </si>
  <si>
    <t>Union territory</t>
  </si>
  <si>
    <t>Uttar Pradesh</t>
  </si>
  <si>
    <t>Uttarakhand</t>
  </si>
  <si>
    <t>West Bengal</t>
  </si>
  <si>
    <t>25</t>
  </si>
  <si>
    <t>atanur487@gmail.com</t>
  </si>
  <si>
    <t>INDIA</t>
  </si>
  <si>
    <t>Female</t>
  </si>
  <si>
    <t>9087854334</t>
  </si>
  <si>
    <t>AYAN SARKAR</t>
  </si>
  <si>
    <t>Male</t>
  </si>
  <si>
    <t>ayans487@gmail.com</t>
  </si>
  <si>
    <t>24</t>
  </si>
  <si>
    <t>10th PASS</t>
  </si>
  <si>
    <t>TAMAL DEVNATH</t>
  </si>
  <si>
    <t>90877665767</t>
  </si>
  <si>
    <t>tyamald769@gmail.com</t>
  </si>
  <si>
    <t>INDRANI SANYAL</t>
  </si>
  <si>
    <t>30</t>
  </si>
  <si>
    <t>8988989765</t>
  </si>
  <si>
    <t>indranis786@yahoo.com</t>
  </si>
  <si>
    <r>
      <t>10</t>
    </r>
    <r>
      <rPr>
        <vertAlign val="superscript"/>
        <sz val="11"/>
        <color theme="0"/>
        <rFont val="Calibri"/>
        <family val="2"/>
        <scheme val="minor"/>
      </rPr>
      <t xml:space="preserve">th </t>
    </r>
    <r>
      <rPr>
        <sz val="11"/>
        <color theme="0"/>
        <rFont val="Calibri"/>
        <family val="2"/>
        <scheme val="minor"/>
      </rPr>
      <t>PASS</t>
    </r>
  </si>
  <si>
    <t>kumarb420@yahoo.com</t>
  </si>
  <si>
    <t>8800804689</t>
  </si>
  <si>
    <t>34</t>
  </si>
  <si>
    <t>KUMAR BAHADUR</t>
  </si>
  <si>
    <t>SANGEETA SAHA</t>
  </si>
  <si>
    <t>23</t>
  </si>
  <si>
    <t>9099896564</t>
  </si>
  <si>
    <t>sangeetas786@gmail.com</t>
  </si>
  <si>
    <t>PRASHANTA MAHATO</t>
  </si>
  <si>
    <t>8907845600</t>
  </si>
  <si>
    <t>prashantam487@yahoo.com</t>
  </si>
  <si>
    <t>9330714572</t>
  </si>
  <si>
    <t>KELTE MADAN</t>
  </si>
  <si>
    <t>1</t>
  </si>
  <si>
    <t>1.5</t>
  </si>
  <si>
    <t>9974478780</t>
  </si>
  <si>
    <t>keltemadanlal@yahoo.com</t>
  </si>
  <si>
    <t>BACHCHA MADAN</t>
  </si>
  <si>
    <t>9996535689</t>
  </si>
  <si>
    <t>bachcham786@gmail.com</t>
  </si>
  <si>
    <t>MAHARASHTRA</t>
  </si>
  <si>
    <t>ODISHA</t>
  </si>
  <si>
    <t>GUJARAT</t>
  </si>
  <si>
    <t>CHECKBOX</t>
  </si>
  <si>
    <t>Bill Entry</t>
  </si>
  <si>
    <t>Invoice No.</t>
  </si>
  <si>
    <t>Items</t>
  </si>
  <si>
    <t>Rate</t>
  </si>
  <si>
    <t>Quantity</t>
  </si>
  <si>
    <t>GST</t>
  </si>
  <si>
    <t>GST Amount</t>
  </si>
  <si>
    <t>Total Amount</t>
  </si>
  <si>
    <t>Pan Drive</t>
  </si>
  <si>
    <t>Monitor</t>
  </si>
  <si>
    <t>Motherboard</t>
  </si>
  <si>
    <t>CPU</t>
  </si>
  <si>
    <t>Mouse</t>
  </si>
  <si>
    <t>Keyboard</t>
  </si>
  <si>
    <t>A to Z Company Pvt. Ltd.</t>
  </si>
  <si>
    <t>23A, New Rohini Street, New Delhi - 780007</t>
  </si>
  <si>
    <t>Hard Disk</t>
  </si>
  <si>
    <t>MoTherboard</t>
  </si>
  <si>
    <t>FIRST CAP</t>
  </si>
  <si>
    <t>REMAINING CHARGE</t>
  </si>
  <si>
    <t>CHARGE USED</t>
  </si>
  <si>
    <t>LAST CAP</t>
  </si>
  <si>
    <t>KERALA</t>
  </si>
  <si>
    <t>TINKU PARUI</t>
  </si>
  <si>
    <t>9899564890</t>
  </si>
  <si>
    <t>tinkuparui2346@gmail.com</t>
  </si>
  <si>
    <t>Customer ID</t>
  </si>
  <si>
    <t>Location</t>
  </si>
  <si>
    <t>JK002</t>
  </si>
  <si>
    <t>Mumbai</t>
  </si>
  <si>
    <t>Chennai</t>
  </si>
  <si>
    <t>JK004</t>
  </si>
  <si>
    <t>JK001</t>
  </si>
  <si>
    <t>JK003</t>
  </si>
  <si>
    <t>JK005</t>
  </si>
  <si>
    <t>Lucknow</t>
  </si>
  <si>
    <t>Bangluru</t>
  </si>
  <si>
    <t>Sum Of Amount</t>
  </si>
  <si>
    <t>Pankaj Traders</t>
  </si>
  <si>
    <t>Aman Enterprises</t>
  </si>
  <si>
    <t>Jai Associates</t>
  </si>
  <si>
    <t>Prashant Agencies</t>
  </si>
  <si>
    <t>Hemant Agency</t>
  </si>
  <si>
    <t>Customer_Name</t>
  </si>
  <si>
    <t>Year</t>
  </si>
  <si>
    <t>Category</t>
  </si>
  <si>
    <t>Product</t>
  </si>
  <si>
    <t>Rating</t>
  </si>
  <si>
    <t>Components</t>
  </si>
  <si>
    <t>Chains</t>
  </si>
  <si>
    <t>Clothing</t>
  </si>
  <si>
    <t>Socks</t>
  </si>
  <si>
    <t>Bib-Shorts</t>
  </si>
  <si>
    <t>Shorts</t>
  </si>
  <si>
    <t>Tights</t>
  </si>
  <si>
    <t>Handlebars</t>
  </si>
  <si>
    <t>Brakes</t>
  </si>
  <si>
    <t>Bikes</t>
  </si>
  <si>
    <t>Mountain Bikes</t>
  </si>
  <si>
    <t>Accessories</t>
  </si>
  <si>
    <t>Helmets</t>
  </si>
  <si>
    <t>Lights</t>
  </si>
  <si>
    <t>Locks</t>
  </si>
  <si>
    <t>Bottom Brackets</t>
  </si>
  <si>
    <t>Jerseys</t>
  </si>
  <si>
    <t>Road Bikes</t>
  </si>
  <si>
    <t>Tires and Tubes</t>
  </si>
  <si>
    <t>Cargo Bike</t>
  </si>
  <si>
    <t>Bike Racks</t>
  </si>
  <si>
    <t>Caps</t>
  </si>
  <si>
    <t>Pumps</t>
  </si>
  <si>
    <t>Wheels</t>
  </si>
  <si>
    <t>Touring Bikes</t>
  </si>
  <si>
    <t>Vests</t>
  </si>
  <si>
    <t>Pedals</t>
  </si>
  <si>
    <t>Gloves</t>
  </si>
  <si>
    <t>Saddles</t>
  </si>
  <si>
    <t>Dev Retail Venture</t>
  </si>
  <si>
    <t>Vaibhav Sales</t>
  </si>
  <si>
    <t>Garvit Garments</t>
  </si>
  <si>
    <t>Anuj Enterprises</t>
  </si>
  <si>
    <t>Grand Total</t>
  </si>
  <si>
    <t>Check</t>
  </si>
  <si>
    <t>Product Name</t>
  </si>
  <si>
    <t>Distributor Name</t>
  </si>
  <si>
    <t>Coffee</t>
  </si>
  <si>
    <t>Pankaj Enterprises</t>
  </si>
  <si>
    <t>Ajay Kumar</t>
  </si>
  <si>
    <t>Tea</t>
  </si>
  <si>
    <t>Karan Trading Co.</t>
  </si>
  <si>
    <t>Harishit</t>
  </si>
  <si>
    <t>Soap</t>
  </si>
  <si>
    <t>Harshit &amp; Company</t>
  </si>
  <si>
    <t>Sharma Agencies</t>
  </si>
  <si>
    <t>Shailendra</t>
  </si>
  <si>
    <t>Shampoo</t>
  </si>
  <si>
    <t>Anil Kumar</t>
  </si>
  <si>
    <t>Honey</t>
  </si>
  <si>
    <t>Sanjay Traders</t>
  </si>
  <si>
    <t>Bharat Agency</t>
  </si>
  <si>
    <t>Neeraj</t>
  </si>
  <si>
    <t>Hemraj Distributors</t>
  </si>
  <si>
    <t>Chandra Distribution</t>
  </si>
  <si>
    <t>Manoj Enterprises</t>
  </si>
  <si>
    <t>Sugar</t>
  </si>
  <si>
    <t>Atanu Enterprise</t>
  </si>
  <si>
    <t>Atanu Roy</t>
  </si>
  <si>
    <t>Stu_Name</t>
  </si>
  <si>
    <t>Marks</t>
  </si>
  <si>
    <t>Gender</t>
  </si>
  <si>
    <t>Stu_ID</t>
  </si>
  <si>
    <t>Sapna Bishwas</t>
  </si>
  <si>
    <t>Tapas Sanyal</t>
  </si>
  <si>
    <t>Tina Saha</t>
  </si>
  <si>
    <t>Ratna Sinha</t>
  </si>
  <si>
    <t>Harikesh Dutta</t>
  </si>
  <si>
    <t>Yasmin Ali</t>
  </si>
  <si>
    <t>Uttam Chowdhury</t>
  </si>
  <si>
    <t>Jeet Paradhi</t>
  </si>
  <si>
    <t>Gargi Maitra</t>
  </si>
  <si>
    <t>M</t>
  </si>
  <si>
    <t>F</t>
  </si>
  <si>
    <t>Akash Halder</t>
  </si>
  <si>
    <t>Shyamal Patra</t>
  </si>
  <si>
    <t>Deepika Bera</t>
  </si>
  <si>
    <t>MARKS</t>
  </si>
  <si>
    <t>SALES PERSON NAME</t>
  </si>
  <si>
    <t>JAN</t>
  </si>
  <si>
    <t>FEB</t>
  </si>
  <si>
    <t>MAR</t>
  </si>
  <si>
    <t>APR</t>
  </si>
  <si>
    <t>MAY</t>
  </si>
  <si>
    <t>JUN</t>
  </si>
  <si>
    <t>JUL</t>
  </si>
  <si>
    <t>AUG</t>
  </si>
  <si>
    <t>SEP</t>
  </si>
  <si>
    <t>OCT</t>
  </si>
  <si>
    <t>NOV</t>
  </si>
  <si>
    <t>DEC</t>
  </si>
  <si>
    <t>SAPNA BISHWAS</t>
  </si>
  <si>
    <t>TAPAS SANYAL</t>
  </si>
  <si>
    <t>TINA SAHA</t>
  </si>
  <si>
    <t>RATNA SINHA</t>
  </si>
  <si>
    <t>HARIKESH DUTTA</t>
  </si>
  <si>
    <t>YASMIN ALI</t>
  </si>
  <si>
    <t>UTTAM CHOWDHURY</t>
  </si>
  <si>
    <t>JEET PARADHI</t>
  </si>
  <si>
    <t>GARGI MAITRA</t>
  </si>
  <si>
    <t>AKASH HALDER</t>
  </si>
  <si>
    <t>SUM OF TOP 5 VALUES</t>
  </si>
  <si>
    <t>SUM OF BOTTOM 5 VALUES</t>
  </si>
  <si>
    <t>MALE</t>
  </si>
  <si>
    <t>FEMALE</t>
  </si>
  <si>
    <t>RUPSA MAITI</t>
  </si>
  <si>
    <t>ATANU ROY-9330714572</t>
  </si>
  <si>
    <t>Name</t>
  </si>
  <si>
    <t>Pankaj</t>
  </si>
  <si>
    <t>Manish</t>
  </si>
  <si>
    <t>Harsh</t>
  </si>
  <si>
    <t>Pawan</t>
  </si>
  <si>
    <t>Arjun</t>
  </si>
  <si>
    <t>Prakash</t>
  </si>
  <si>
    <t>Akshay</t>
  </si>
  <si>
    <t>Satish</t>
  </si>
  <si>
    <t>Sunil</t>
  </si>
  <si>
    <t>Shobhit</t>
  </si>
  <si>
    <t>Devesh</t>
  </si>
  <si>
    <t>Karan</t>
  </si>
  <si>
    <t>Aman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</si>
</sst>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4009]\ #,##0.00;[Red][$₹-4009]\ #,##0.00"/>
    <numFmt numFmtId="165" formatCode="[$₹-445]\ #,##0;[Red][$₹-445]\ #,##0"/>
    <numFmt numFmtId="166" formatCode="[Red]0\ &quot;Months&quot;"/>
    <numFmt numFmtId="167" formatCode=";;;"/>
    <numFmt numFmtId="168" formatCode="[Color3]0\ &quot;DAYS&quot;"/>
    <numFmt numFmtId="169" formatCode="dd/mm/yyyy"/>
    <numFmt numFmtId="170" formatCode="dd"/>
    <numFmt numFmtId="171" formatCode="[Blue]@* &quot;:&quot;"/>
    <numFmt numFmtId="172" formatCode="[Blue]General;\-General;General"/>
    <numFmt numFmtId="173" formatCode="[Color1]@* &quot;:&quot;"/>
    <numFmt numFmtId="174" formatCode="[Color2]0\ &quot;Years&quot;"/>
    <numFmt numFmtId="175" formatCode="[$₹-447]#,##0.00"/>
    <numFmt numFmtId="176" formatCode="[$₹-447]#,##0"/>
    <numFmt numFmtId="177" formatCode="[Color3]0\ &quot;Pcs.&quot;"/>
    <numFmt numFmtId="178" formatCode="[$₹-447]#,##0.00;[Red][$₹-447]#,##0.00"/>
    <numFmt numFmtId="179" formatCode="[$₹-447]#,##0.00;[Red][$₹-447]\-#,##0.00"/>
    <numFmt numFmtId="180" formatCode="0;\-0;"/>
    <numFmt numFmtId="181" formatCode="@* &quot;:&quot;"/>
  </numFmts>
  <fonts count="37" x14ac:knownFonts="1">
    <font>
      <sz val="11"/>
      <color theme="1"/>
      <name val="Calibri"/>
      <family val="2"/>
      <scheme val="minor"/>
    </font>
    <font>
      <b/>
      <sz val="11"/>
      <color theme="1"/>
      <name val="Calibri"/>
      <family val="2"/>
      <scheme val="minor"/>
    </font>
    <font>
      <b/>
      <sz val="11"/>
      <color indexed="9"/>
      <name val="Calibri"/>
      <family val="2"/>
      <scheme val="minor"/>
    </font>
    <font>
      <b/>
      <sz val="11"/>
      <color indexed="8"/>
      <name val="Calibri"/>
      <family val="2"/>
      <scheme val="minor"/>
    </font>
    <font>
      <b/>
      <sz val="16"/>
      <color theme="1"/>
      <name val="Calibri"/>
      <family val="2"/>
      <scheme val="minor"/>
    </font>
    <font>
      <b/>
      <sz val="12"/>
      <color rgb="FF00B050"/>
      <name val="Calibri"/>
      <family val="2"/>
      <scheme val="minor"/>
    </font>
    <font>
      <b/>
      <i/>
      <sz val="18"/>
      <color theme="0"/>
      <name val="Calibri"/>
      <family val="2"/>
      <scheme val="minor"/>
    </font>
    <font>
      <u/>
      <sz val="11"/>
      <color theme="10"/>
      <name val="Calibri"/>
      <family val="2"/>
      <scheme val="minor"/>
    </font>
    <font>
      <sz val="11"/>
      <color theme="1"/>
      <name val="CCode39"/>
    </font>
    <font>
      <b/>
      <u/>
      <sz val="11"/>
      <color theme="10"/>
      <name val="Calibri"/>
      <family val="2"/>
      <scheme val="minor"/>
    </font>
    <font>
      <sz val="20"/>
      <color theme="1"/>
      <name val="C39HrP36DlTt"/>
    </font>
    <font>
      <sz val="20"/>
      <color theme="1"/>
      <name val="Code 128"/>
      <charset val="2"/>
    </font>
    <font>
      <sz val="11"/>
      <color theme="0"/>
      <name val="Calibri"/>
      <family val="2"/>
      <scheme val="minor"/>
    </font>
    <font>
      <b/>
      <sz val="11"/>
      <color theme="0"/>
      <name val="Calibri"/>
      <family val="2"/>
      <scheme val="minor"/>
    </font>
    <font>
      <b/>
      <sz val="11"/>
      <color rgb="FFFFFFFF"/>
      <name val="Calibri"/>
      <family val="2"/>
      <scheme val="minor"/>
    </font>
    <font>
      <b/>
      <sz val="10"/>
      <color indexed="9"/>
      <name val="Calibri"/>
      <family val="2"/>
      <scheme val="minor"/>
    </font>
    <font>
      <sz val="11"/>
      <color rgb="FF006100"/>
      <name val="Calibri"/>
      <family val="2"/>
      <scheme val="minor"/>
    </font>
    <font>
      <b/>
      <i/>
      <sz val="10"/>
      <color indexed="9"/>
      <name val="Calibri"/>
      <family val="2"/>
      <scheme val="minor"/>
    </font>
    <font>
      <b/>
      <sz val="11"/>
      <color indexed="18"/>
      <name val="Calibri"/>
      <family val="2"/>
      <scheme val="minor"/>
    </font>
    <font>
      <b/>
      <sz val="11"/>
      <color rgb="FF006100"/>
      <name val="Calibri"/>
      <family val="2"/>
      <scheme val="minor"/>
    </font>
    <font>
      <b/>
      <sz val="9"/>
      <color theme="1"/>
      <name val="Calibri"/>
      <family val="2"/>
      <scheme val="minor"/>
    </font>
    <font>
      <b/>
      <sz val="10"/>
      <color theme="0"/>
      <name val="Calibri"/>
      <family val="2"/>
      <scheme val="minor"/>
    </font>
    <font>
      <b/>
      <sz val="10"/>
      <color theme="1"/>
      <name val="Calibri"/>
      <family val="2"/>
      <scheme val="minor"/>
    </font>
    <font>
      <b/>
      <sz val="10"/>
      <color theme="4"/>
      <name val="Calibri"/>
      <family val="2"/>
      <scheme val="minor"/>
    </font>
    <font>
      <sz val="11"/>
      <color rgb="FFFF0000"/>
      <name val="Playbill"/>
      <family val="5"/>
    </font>
    <font>
      <sz val="11"/>
      <color rgb="FF92D050"/>
      <name val="Playbill"/>
      <family val="5"/>
    </font>
    <font>
      <sz val="8"/>
      <color rgb="FF000000"/>
      <name val="Segoe UI"/>
      <family val="2"/>
    </font>
    <font>
      <sz val="11"/>
      <color rgb="FF000000"/>
      <name val="Calibri"/>
      <family val="2"/>
    </font>
    <font>
      <vertAlign val="superscript"/>
      <sz val="11"/>
      <color theme="0"/>
      <name val="Calibri"/>
      <family val="2"/>
      <scheme val="minor"/>
    </font>
    <font>
      <b/>
      <sz val="11"/>
      <color theme="4"/>
      <name val="Calibri"/>
      <family val="2"/>
      <scheme val="minor"/>
    </font>
    <font>
      <b/>
      <sz val="14"/>
      <color theme="1"/>
      <name val="Calibri"/>
      <family val="2"/>
      <scheme val="minor"/>
    </font>
    <font>
      <b/>
      <sz val="26"/>
      <color rgb="FFFFFFFF"/>
      <name val="Aharoni"/>
      <charset val="177"/>
    </font>
    <font>
      <b/>
      <sz val="12"/>
      <color theme="1"/>
      <name val="Calibri"/>
      <family val="2"/>
      <scheme val="minor"/>
    </font>
    <font>
      <b/>
      <i/>
      <sz val="11"/>
      <color theme="1"/>
      <name val="Calibri"/>
      <family val="2"/>
      <scheme val="minor"/>
    </font>
    <font>
      <b/>
      <sz val="12"/>
      <color rgb="FFC00000"/>
      <name val="Calibri"/>
      <family val="2"/>
      <scheme val="minor"/>
    </font>
    <font>
      <b/>
      <i/>
      <sz val="11"/>
      <color indexed="9"/>
      <name val="Calibri"/>
      <family val="2"/>
      <scheme val="minor"/>
    </font>
    <font>
      <b/>
      <sz val="13"/>
      <color rgb="FF44546A"/>
      <name val="Calibri"/>
      <family val="2"/>
      <scheme val="minor"/>
    </font>
  </fonts>
  <fills count="29">
    <fill>
      <patternFill patternType="none"/>
    </fill>
    <fill>
      <patternFill patternType="gray125"/>
    </fill>
    <fill>
      <patternFill patternType="solid">
        <fgColor indexed="9"/>
        <bgColor indexed="24"/>
      </patternFill>
    </fill>
    <fill>
      <patternFill patternType="darkGray">
        <fgColor indexed="21"/>
        <bgColor indexed="17"/>
      </patternFill>
    </fill>
    <fill>
      <patternFill patternType="solid">
        <fgColor indexed="42"/>
        <bgColor indexed="24"/>
      </patternFill>
    </fill>
    <fill>
      <patternFill patternType="solid">
        <fgColor rgb="FFFFCCFF"/>
        <bgColor indexed="64"/>
      </patternFill>
    </fill>
    <fill>
      <patternFill patternType="solid">
        <fgColor theme="3"/>
        <bgColor indexed="64"/>
      </patternFill>
    </fill>
    <fill>
      <patternFill patternType="solid">
        <fgColor indexed="20"/>
        <bgColor indexed="24"/>
      </patternFill>
    </fill>
    <fill>
      <patternFill patternType="darkGray">
        <fgColor indexed="9"/>
        <bgColor indexed="13"/>
      </patternFill>
    </fill>
    <fill>
      <patternFill patternType="solid">
        <fgColor rgb="FF00B050"/>
        <bgColor indexed="64"/>
      </patternFill>
    </fill>
    <fill>
      <patternFill patternType="solid">
        <fgColor rgb="FF92D050"/>
        <bgColor indexed="64"/>
      </patternFill>
    </fill>
    <fill>
      <patternFill patternType="solid">
        <fgColor rgb="FFC00000"/>
        <bgColor indexed="64"/>
      </patternFill>
    </fill>
    <fill>
      <patternFill patternType="solid">
        <fgColor theme="0" tint="-0.34998626667073579"/>
        <bgColor indexed="64"/>
      </patternFill>
    </fill>
    <fill>
      <patternFill patternType="solid">
        <fgColor theme="4"/>
        <bgColor indexed="64"/>
      </patternFill>
    </fill>
    <fill>
      <patternFill patternType="solid">
        <fgColor rgb="FFC6EFCE"/>
      </patternFill>
    </fill>
    <fill>
      <patternFill patternType="solid">
        <fgColor indexed="22"/>
        <bgColor indexed="24"/>
      </patternFill>
    </fill>
    <fill>
      <patternFill patternType="solid">
        <fgColor indexed="18"/>
        <bgColor indexed="24"/>
      </patternFill>
    </fill>
    <fill>
      <patternFill patternType="solid">
        <fgColor rgb="FF0070C0"/>
        <bgColor indexed="64"/>
      </patternFill>
    </fill>
    <fill>
      <patternFill patternType="solid">
        <fgColor rgb="FFA5A5A5"/>
      </patternFill>
    </fill>
    <fill>
      <patternFill patternType="solid">
        <fgColor theme="0" tint="-0.14999847407452621"/>
        <bgColor indexed="64"/>
      </patternFill>
    </fill>
    <fill>
      <patternFill patternType="solid">
        <fgColor rgb="FFE2EFD9"/>
        <bgColor indexed="64"/>
      </patternFill>
    </fill>
    <fill>
      <patternFill patternType="solid">
        <fgColor rgb="FFF7CAAC"/>
        <bgColor indexed="64"/>
      </patternFill>
    </fill>
    <fill>
      <patternFill patternType="solid">
        <fgColor theme="9"/>
      </patternFill>
    </fill>
    <fill>
      <patternFill patternType="solid">
        <fgColor rgb="FF4472C4"/>
        <bgColor indexed="64"/>
      </patternFill>
    </fill>
    <fill>
      <patternFill patternType="solid">
        <fgColor rgb="FFD9E2F3"/>
        <bgColor indexed="64"/>
      </patternFill>
    </fill>
    <fill>
      <patternFill patternType="solid">
        <fgColor indexed="16"/>
        <bgColor indexed="24"/>
      </patternFill>
    </fill>
    <fill>
      <patternFill patternType="solid">
        <fgColor indexed="21"/>
        <bgColor indexed="24"/>
      </patternFill>
    </fill>
    <fill>
      <patternFill patternType="solid">
        <fgColor indexed="8"/>
        <bgColor indexed="24"/>
      </patternFill>
    </fill>
    <fill>
      <patternFill patternType="solid">
        <fgColor rgb="FFFFC000"/>
        <bgColor indexed="64"/>
      </patternFill>
    </fill>
  </fills>
  <borders count="83">
    <border>
      <left/>
      <right/>
      <top/>
      <bottom/>
      <diagonal/>
    </border>
    <border>
      <left style="medium">
        <color indexed="23"/>
      </left>
      <right style="medium">
        <color indexed="23"/>
      </right>
      <top style="medium">
        <color indexed="23"/>
      </top>
      <bottom style="medium">
        <color indexed="23"/>
      </bottom>
      <diagonal/>
    </border>
    <border>
      <left/>
      <right style="medium">
        <color indexed="23"/>
      </right>
      <top/>
      <bottom style="medium">
        <color indexed="23"/>
      </bottom>
      <diagonal/>
    </border>
    <border>
      <left style="medium">
        <color indexed="23"/>
      </left>
      <right style="medium">
        <color indexed="23"/>
      </right>
      <top/>
      <bottom style="medium">
        <color indexed="23"/>
      </bottom>
      <diagonal/>
    </border>
    <border>
      <left style="medium">
        <color indexed="23"/>
      </left>
      <right/>
      <top/>
      <bottom style="medium">
        <color indexed="23"/>
      </bottom>
      <diagonal/>
    </border>
    <border>
      <left/>
      <right style="medium">
        <color indexed="23"/>
      </right>
      <top style="medium">
        <color indexed="23"/>
      </top>
      <bottom style="medium">
        <color indexed="23"/>
      </bottom>
      <diagonal/>
    </border>
    <border>
      <left style="medium">
        <color indexed="23"/>
      </left>
      <right/>
      <top style="medium">
        <color indexed="23"/>
      </top>
      <bottom style="medium">
        <color indexed="23"/>
      </bottom>
      <diagonal/>
    </border>
    <border>
      <left/>
      <right style="medium">
        <color indexed="23"/>
      </right>
      <top style="medium">
        <color indexed="23"/>
      </top>
      <bottom/>
      <diagonal/>
    </border>
    <border>
      <left style="medium">
        <color indexed="23"/>
      </left>
      <right style="medium">
        <color indexed="23"/>
      </right>
      <top style="medium">
        <color indexed="23"/>
      </top>
      <bottom/>
      <diagonal/>
    </border>
    <border>
      <left style="medium">
        <color indexed="23"/>
      </left>
      <right/>
      <top style="medium">
        <color indexed="23"/>
      </top>
      <bottom/>
      <diagonal/>
    </border>
    <border>
      <left style="medium">
        <color auto="1"/>
      </left>
      <right style="medium">
        <color auto="1"/>
      </right>
      <top style="medium">
        <color auto="1"/>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
      <left style="medium">
        <color auto="1"/>
      </left>
      <right/>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top style="medium">
        <color auto="1"/>
      </top>
      <bottom style="medium">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style="medium">
        <color theme="7"/>
      </left>
      <right style="medium">
        <color theme="7"/>
      </right>
      <top style="medium">
        <color theme="7"/>
      </top>
      <bottom style="medium">
        <color theme="7"/>
      </bottom>
      <diagonal/>
    </border>
    <border>
      <left/>
      <right style="medium">
        <color theme="7"/>
      </right>
      <top/>
      <bottom style="medium">
        <color theme="7"/>
      </bottom>
      <diagonal/>
    </border>
    <border>
      <left style="medium">
        <color theme="7"/>
      </left>
      <right style="medium">
        <color theme="7"/>
      </right>
      <top/>
      <bottom style="medium">
        <color theme="7"/>
      </bottom>
      <diagonal/>
    </border>
    <border>
      <left style="medium">
        <color theme="7"/>
      </left>
      <right/>
      <top/>
      <bottom style="medium">
        <color theme="7"/>
      </bottom>
      <diagonal/>
    </border>
    <border>
      <left/>
      <right style="medium">
        <color theme="7"/>
      </right>
      <top style="medium">
        <color theme="7"/>
      </top>
      <bottom style="medium">
        <color theme="7"/>
      </bottom>
      <diagonal/>
    </border>
    <border>
      <left style="medium">
        <color theme="7"/>
      </left>
      <right/>
      <top style="medium">
        <color theme="7"/>
      </top>
      <bottom style="medium">
        <color theme="7"/>
      </bottom>
      <diagonal/>
    </border>
    <border>
      <left/>
      <right style="medium">
        <color theme="7"/>
      </right>
      <top style="medium">
        <color theme="7"/>
      </top>
      <bottom/>
      <diagonal/>
    </border>
    <border>
      <left style="medium">
        <color theme="7"/>
      </left>
      <right style="medium">
        <color theme="7"/>
      </right>
      <top style="medium">
        <color theme="7"/>
      </top>
      <bottom/>
      <diagonal/>
    </border>
    <border>
      <left style="medium">
        <color theme="7"/>
      </left>
      <right/>
      <top style="medium">
        <color theme="7"/>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top/>
      <bottom style="medium">
        <color rgb="FF000000"/>
      </bottom>
      <diagonal/>
    </border>
    <border>
      <left/>
      <right style="medium">
        <color rgb="FF000000"/>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4"/>
      </left>
      <right style="medium">
        <color theme="4"/>
      </right>
      <top style="medium">
        <color theme="4"/>
      </top>
      <bottom style="medium">
        <color theme="4"/>
      </bottom>
      <diagonal/>
    </border>
    <border>
      <left/>
      <right/>
      <top/>
      <bottom style="thick">
        <color rgb="FF000000"/>
      </bottom>
      <diagonal/>
    </border>
    <border>
      <left/>
      <right/>
      <top style="thick">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medium">
        <color theme="3"/>
      </left>
      <right style="medium">
        <color theme="3"/>
      </right>
      <top style="medium">
        <color theme="3"/>
      </top>
      <bottom style="medium">
        <color theme="3"/>
      </bottom>
      <diagonal/>
    </border>
    <border>
      <left/>
      <right style="thick">
        <color rgb="FF000000"/>
      </right>
      <top/>
      <bottom style="thick">
        <color rgb="FF000000"/>
      </bottom>
      <diagonal/>
    </border>
    <border>
      <left style="thick">
        <color rgb="FF000000"/>
      </left>
      <right/>
      <top/>
      <bottom style="thick">
        <color rgb="FF000000"/>
      </bottom>
      <diagonal/>
    </border>
    <border>
      <left/>
      <right style="thick">
        <color rgb="FF000000"/>
      </right>
      <top style="thick">
        <color rgb="FF000000"/>
      </top>
      <bottom style="thick">
        <color rgb="FF000000"/>
      </bottom>
      <diagonal/>
    </border>
    <border>
      <left style="thick">
        <color rgb="FF000000"/>
      </left>
      <right/>
      <top style="thick">
        <color rgb="FF000000"/>
      </top>
      <bottom style="thick">
        <color rgb="FF000000"/>
      </bottom>
      <diagonal/>
    </border>
    <border>
      <left/>
      <right style="thick">
        <color rgb="FF000000"/>
      </right>
      <top style="thick">
        <color rgb="FF000000"/>
      </top>
      <bottom/>
      <diagonal/>
    </border>
    <border>
      <left style="thick">
        <color rgb="FF000000"/>
      </left>
      <right/>
      <top style="thick">
        <color rgb="FF000000"/>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style="thick">
        <color rgb="FF000000"/>
      </left>
      <right style="medium">
        <color rgb="FF000000"/>
      </right>
      <top style="thick">
        <color rgb="FF000000"/>
      </top>
      <bottom style="medium">
        <color rgb="FF000000"/>
      </bottom>
      <diagonal/>
    </border>
    <border>
      <left/>
      <right style="medium">
        <color rgb="FF000000"/>
      </right>
      <top style="thick">
        <color rgb="FF000000"/>
      </top>
      <bottom style="medium">
        <color rgb="FF000000"/>
      </bottom>
      <diagonal/>
    </border>
    <border>
      <left/>
      <right style="thick">
        <color rgb="FF000000"/>
      </right>
      <top style="thick">
        <color rgb="FF000000"/>
      </top>
      <bottom style="medium">
        <color rgb="FF000000"/>
      </bottom>
      <diagonal/>
    </border>
    <border>
      <left style="thick">
        <color rgb="FF000000"/>
      </left>
      <right style="medium">
        <color rgb="FF000000"/>
      </right>
      <top/>
      <bottom style="medium">
        <color rgb="FF000000"/>
      </bottom>
      <diagonal/>
    </border>
    <border>
      <left/>
      <right style="thick">
        <color rgb="FF000000"/>
      </right>
      <top/>
      <bottom style="medium">
        <color rgb="FF000000"/>
      </bottom>
      <diagonal/>
    </border>
    <border>
      <left style="thick">
        <color rgb="FF000000"/>
      </left>
      <right style="medium">
        <color rgb="FF000000"/>
      </right>
      <top/>
      <bottom style="thick">
        <color rgb="FF000000"/>
      </bottom>
      <diagonal/>
    </border>
    <border>
      <left/>
      <right style="medium">
        <color rgb="FF000000"/>
      </right>
      <top/>
      <bottom style="thick">
        <color rgb="FF000000"/>
      </bottom>
      <diagonal/>
    </border>
  </borders>
  <cellStyleXfs count="5">
    <xf numFmtId="0" fontId="0" fillId="0" borderId="0"/>
    <xf numFmtId="0" fontId="7" fillId="0" borderId="0" applyNumberFormat="0" applyFill="0" applyBorder="0" applyAlignment="0" applyProtection="0"/>
    <xf numFmtId="0" fontId="16" fillId="14" borderId="0" applyNumberFormat="0" applyBorder="0" applyAlignment="0" applyProtection="0"/>
    <xf numFmtId="0" fontId="13" fillId="18" borderId="46" applyNumberFormat="0" applyAlignment="0" applyProtection="0"/>
    <xf numFmtId="0" fontId="12" fillId="22" borderId="0" applyNumberFormat="0" applyBorder="0" applyAlignment="0" applyProtection="0"/>
  </cellStyleXfs>
  <cellXfs count="253">
    <xf numFmtId="0" fontId="0" fillId="0" borderId="0" xfId="0"/>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1" xfId="0" applyFont="1" applyFill="1" applyBorder="1" applyAlignment="1">
      <alignment horizontal="center" vertical="center" wrapText="1"/>
    </xf>
    <xf numFmtId="14" fontId="3" fillId="4" borderId="1" xfId="0" applyNumberFormat="1"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14" fontId="3" fillId="2" borderId="8" xfId="0" applyNumberFormat="1" applyFont="1" applyFill="1" applyBorder="1" applyAlignment="1">
      <alignment horizontal="center" vertical="center" wrapText="1"/>
    </xf>
    <xf numFmtId="0" fontId="3" fillId="2" borderId="9" xfId="0" applyFont="1" applyFill="1" applyBorder="1" applyAlignment="1">
      <alignment horizontal="center" vertical="center" wrapText="1"/>
    </xf>
    <xf numFmtId="0" fontId="0" fillId="0" borderId="0" xfId="0" applyBorder="1" applyAlignment="1">
      <alignment horizontal="right" wrapText="1"/>
    </xf>
    <xf numFmtId="0" fontId="0" fillId="0" borderId="0" xfId="0" applyBorder="1"/>
    <xf numFmtId="14" fontId="3" fillId="0" borderId="0" xfId="0" applyNumberFormat="1" applyFont="1" applyFill="1" applyBorder="1" applyAlignment="1">
      <alignment horizontal="center" vertical="center" wrapText="1"/>
    </xf>
    <xf numFmtId="0" fontId="0" fillId="0" borderId="0" xfId="0" applyFill="1" applyBorder="1"/>
    <xf numFmtId="164" fontId="3" fillId="4" borderId="1" xfId="0" applyNumberFormat="1" applyFont="1" applyFill="1" applyBorder="1" applyAlignment="1">
      <alignment horizontal="center" vertical="center"/>
    </xf>
    <xf numFmtId="164" fontId="3" fillId="2" borderId="1" xfId="0" applyNumberFormat="1" applyFont="1" applyFill="1" applyBorder="1" applyAlignment="1">
      <alignment horizontal="center" vertical="center"/>
    </xf>
    <xf numFmtId="164" fontId="3" fillId="2" borderId="8" xfId="0" applyNumberFormat="1" applyFont="1" applyFill="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NumberFormat="1" applyFont="1" applyBorder="1" applyAlignment="1">
      <alignment horizontal="center" vertical="center"/>
    </xf>
    <xf numFmtId="0" fontId="1" fillId="0" borderId="10" xfId="0" applyNumberFormat="1" applyFont="1" applyBorder="1" applyAlignment="1">
      <alignment horizontal="center" vertical="center"/>
    </xf>
    <xf numFmtId="0" fontId="1" fillId="0" borderId="16" xfId="0" applyNumberFormat="1" applyFont="1" applyBorder="1" applyAlignment="1">
      <alignment horizontal="center" vertical="center"/>
    </xf>
    <xf numFmtId="0" fontId="1" fillId="0" borderId="17" xfId="0" applyNumberFormat="1"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2" xfId="0" applyFont="1" applyBorder="1" applyAlignment="1">
      <alignment horizontal="center" vertical="center" wrapText="1"/>
    </xf>
    <xf numFmtId="165" fontId="1" fillId="0" borderId="10" xfId="0" applyNumberFormat="1" applyFont="1" applyBorder="1" applyAlignment="1">
      <alignment horizontal="center" vertical="center"/>
    </xf>
    <xf numFmtId="165" fontId="1" fillId="0" borderId="15" xfId="0" applyNumberFormat="1" applyFont="1" applyBorder="1" applyAlignment="1">
      <alignment horizontal="center" vertical="center"/>
    </xf>
    <xf numFmtId="165" fontId="1" fillId="0" borderId="17" xfId="0" applyNumberFormat="1" applyFont="1" applyBorder="1" applyAlignment="1">
      <alignment horizontal="center" vertical="center"/>
    </xf>
    <xf numFmtId="165" fontId="1" fillId="0" borderId="18" xfId="0" applyNumberFormat="1" applyFont="1" applyBorder="1" applyAlignment="1">
      <alignment horizontal="center" vertical="center"/>
    </xf>
    <xf numFmtId="0" fontId="5" fillId="0" borderId="0" xfId="0" applyFont="1" applyAlignment="1">
      <alignment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0" borderId="11" xfId="0" applyNumberFormat="1" applyFont="1" applyBorder="1" applyAlignment="1">
      <alignment horizontal="center" vertical="center"/>
    </xf>
    <xf numFmtId="0" fontId="1" fillId="0" borderId="12" xfId="0" applyNumberFormat="1" applyFont="1" applyBorder="1" applyAlignment="1">
      <alignment horizontal="center" vertical="center"/>
    </xf>
    <xf numFmtId="165" fontId="1" fillId="0" borderId="12" xfId="0" applyNumberFormat="1" applyFont="1" applyBorder="1" applyAlignment="1">
      <alignment horizontal="center" vertical="center"/>
    </xf>
    <xf numFmtId="165" fontId="1" fillId="0" borderId="13" xfId="0" applyNumberFormat="1" applyFont="1" applyBorder="1" applyAlignment="1">
      <alignment horizontal="center" vertical="center"/>
    </xf>
    <xf numFmtId="0" fontId="8" fillId="0" borderId="0" xfId="0" applyFont="1" applyAlignment="1">
      <alignment horizontal="center" vertical="center"/>
    </xf>
    <xf numFmtId="0" fontId="1" fillId="0" borderId="0" xfId="0" applyFont="1" applyAlignment="1">
      <alignment horizontal="center" vertical="center"/>
    </xf>
    <xf numFmtId="0" fontId="9" fillId="0" borderId="0" xfId="1" applyFont="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xf>
    <xf numFmtId="0" fontId="0" fillId="0" borderId="10" xfId="0" applyFill="1" applyBorder="1" applyAlignment="1">
      <alignment horizontal="center" vertical="center" wrapText="1"/>
    </xf>
    <xf numFmtId="15" fontId="0" fillId="0" borderId="10" xfId="0" applyNumberFormat="1" applyFill="1" applyBorder="1" applyAlignment="1">
      <alignment horizontal="center" vertical="center" wrapText="1"/>
    </xf>
    <xf numFmtId="166" fontId="0" fillId="0" borderId="10" xfId="0" applyNumberFormat="1" applyFill="1" applyBorder="1" applyAlignment="1">
      <alignment horizontal="center" vertical="center" wrapText="1"/>
    </xf>
    <xf numFmtId="38" fontId="0" fillId="0" borderId="10" xfId="0" applyNumberFormat="1" applyFill="1" applyBorder="1" applyAlignment="1">
      <alignment horizontal="center" vertical="center" wrapText="1"/>
    </xf>
    <xf numFmtId="0" fontId="2" fillId="7" borderId="26" xfId="0" applyFont="1" applyFill="1" applyBorder="1" applyAlignment="1">
      <alignment horizontal="center" vertical="center" wrapText="1"/>
    </xf>
    <xf numFmtId="0" fontId="3" fillId="8" borderId="10" xfId="0" applyFont="1" applyFill="1" applyBorder="1" applyAlignment="1">
      <alignment horizontal="center" vertical="center" wrapText="1"/>
    </xf>
    <xf numFmtId="15" fontId="3" fillId="8" borderId="10" xfId="0" applyNumberFormat="1" applyFont="1" applyFill="1" applyBorder="1" applyAlignment="1">
      <alignment horizontal="center" vertical="center" wrapText="1"/>
    </xf>
    <xf numFmtId="166" fontId="3" fillId="8" borderId="10" xfId="0" applyNumberFormat="1" applyFont="1" applyFill="1" applyBorder="1" applyAlignment="1">
      <alignment horizontal="center" vertical="center" wrapText="1"/>
    </xf>
    <xf numFmtId="38" fontId="3" fillId="8" borderId="10" xfId="0" applyNumberFormat="1" applyFont="1" applyFill="1" applyBorder="1" applyAlignment="1">
      <alignment horizontal="center" vertical="center" wrapText="1"/>
    </xf>
    <xf numFmtId="0" fontId="3" fillId="8" borderId="10" xfId="0" applyNumberFormat="1" applyFon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27" xfId="0" applyBorder="1"/>
    <xf numFmtId="0" fontId="0" fillId="0" borderId="34" xfId="0" applyBorder="1"/>
    <xf numFmtId="0" fontId="1" fillId="0" borderId="28" xfId="0" applyFont="1" applyBorder="1" applyAlignment="1">
      <alignment horizontal="center"/>
    </xf>
    <xf numFmtId="0" fontId="1" fillId="0" borderId="29" xfId="0" applyFont="1" applyBorder="1" applyAlignment="1">
      <alignment horizontal="center"/>
    </xf>
    <xf numFmtId="0" fontId="1" fillId="0" borderId="30" xfId="0" applyFont="1" applyBorder="1" applyAlignment="1">
      <alignment horizontal="center"/>
    </xf>
    <xf numFmtId="167" fontId="1" fillId="0" borderId="31" xfId="0" applyNumberFormat="1" applyFont="1" applyBorder="1" applyAlignment="1">
      <alignment horizontal="center"/>
    </xf>
    <xf numFmtId="0" fontId="1" fillId="0" borderId="27" xfId="0" applyFont="1" applyBorder="1" applyAlignment="1">
      <alignment horizontal="center"/>
    </xf>
    <xf numFmtId="0" fontId="1" fillId="0" borderId="32" xfId="0" applyFont="1" applyBorder="1" applyAlignment="1">
      <alignment horizontal="center"/>
    </xf>
    <xf numFmtId="167" fontId="1" fillId="0" borderId="33" xfId="0" applyNumberFormat="1" applyFont="1" applyBorder="1" applyAlignment="1">
      <alignment horizontal="center"/>
    </xf>
    <xf numFmtId="0" fontId="1" fillId="0" borderId="35" xfId="0" applyFont="1" applyBorder="1" applyAlignment="1">
      <alignment horizontal="center"/>
    </xf>
    <xf numFmtId="0" fontId="12" fillId="0" borderId="0" xfId="0" applyNumberFormat="1" applyFont="1"/>
    <xf numFmtId="0" fontId="14" fillId="9" borderId="37" xfId="0" applyFont="1" applyFill="1" applyBorder="1" applyAlignment="1">
      <alignment horizontal="center" wrapText="1"/>
    </xf>
    <xf numFmtId="0" fontId="14" fillId="9" borderId="38" xfId="0" applyFont="1" applyFill="1" applyBorder="1" applyAlignment="1">
      <alignment horizontal="center" wrapText="1"/>
    </xf>
    <xf numFmtId="0" fontId="1" fillId="0" borderId="37" xfId="0" applyFont="1" applyBorder="1" applyAlignment="1">
      <alignment horizontal="center" wrapText="1"/>
    </xf>
    <xf numFmtId="0" fontId="1" fillId="0" borderId="39" xfId="0" applyFont="1" applyBorder="1" applyAlignment="1">
      <alignment horizontal="center" wrapText="1"/>
    </xf>
    <xf numFmtId="0" fontId="15" fillId="7" borderId="40" xfId="0" applyFont="1" applyFill="1" applyBorder="1" applyAlignment="1">
      <alignment horizontal="center" vertical="center"/>
    </xf>
    <xf numFmtId="0" fontId="1" fillId="0" borderId="40" xfId="0" applyFont="1" applyFill="1" applyBorder="1" applyAlignment="1">
      <alignment horizontal="center" vertical="center"/>
    </xf>
    <xf numFmtId="168" fontId="1" fillId="0" borderId="40" xfId="0" applyNumberFormat="1" applyFont="1" applyFill="1" applyBorder="1" applyAlignment="1">
      <alignment horizontal="center" vertical="center"/>
    </xf>
    <xf numFmtId="15" fontId="1" fillId="0" borderId="40" xfId="0" applyNumberFormat="1" applyFont="1" applyFill="1" applyBorder="1" applyAlignment="1">
      <alignment horizontal="center" vertical="center"/>
    </xf>
    <xf numFmtId="169" fontId="1" fillId="0" borderId="37" xfId="0" applyNumberFormat="1" applyFont="1" applyBorder="1" applyAlignment="1">
      <alignment horizontal="center" wrapText="1"/>
    </xf>
    <xf numFmtId="169" fontId="1" fillId="0" borderId="38" xfId="0" applyNumberFormat="1" applyFont="1" applyBorder="1" applyAlignment="1">
      <alignment horizontal="center" wrapText="1"/>
    </xf>
    <xf numFmtId="0" fontId="1" fillId="0" borderId="0" xfId="0" applyFont="1" applyAlignment="1">
      <alignment horizontal="center" wrapText="1"/>
    </xf>
    <xf numFmtId="170" fontId="14" fillId="9" borderId="36" xfId="0" applyNumberFormat="1" applyFont="1" applyFill="1" applyBorder="1" applyAlignment="1">
      <alignment horizontal="center" wrapText="1"/>
    </xf>
    <xf numFmtId="0" fontId="0" fillId="0" borderId="41" xfId="0" applyBorder="1"/>
    <xf numFmtId="0" fontId="1" fillId="0" borderId="41" xfId="0" applyFont="1" applyBorder="1" applyAlignment="1">
      <alignment horizontal="center" vertical="center" wrapText="1"/>
    </xf>
    <xf numFmtId="168" fontId="1" fillId="0" borderId="41" xfId="0" applyNumberFormat="1" applyFont="1" applyBorder="1" applyAlignment="1">
      <alignment horizontal="center" vertical="center" wrapText="1"/>
    </xf>
    <xf numFmtId="169" fontId="1" fillId="0" borderId="41" xfId="0" applyNumberFormat="1" applyFont="1" applyBorder="1" applyAlignment="1">
      <alignment horizontal="center" vertical="center" wrapText="1"/>
    </xf>
    <xf numFmtId="170" fontId="13" fillId="11" borderId="41" xfId="0" applyNumberFormat="1" applyFont="1" applyFill="1" applyBorder="1" applyAlignment="1">
      <alignment horizontal="center" vertical="center" wrapText="1"/>
    </xf>
    <xf numFmtId="0" fontId="1" fillId="0" borderId="0" xfId="0" applyFont="1" applyFill="1" applyBorder="1" applyAlignment="1">
      <alignment horizontal="center" vertical="center"/>
    </xf>
    <xf numFmtId="168" fontId="1" fillId="0" borderId="0" xfId="0" applyNumberFormat="1" applyFont="1" applyFill="1" applyBorder="1" applyAlignment="1">
      <alignment horizontal="center" vertical="center"/>
    </xf>
    <xf numFmtId="15" fontId="1" fillId="0" borderId="0" xfId="0" applyNumberFormat="1" applyFont="1" applyFill="1" applyBorder="1" applyAlignment="1">
      <alignment horizontal="center" vertical="center"/>
    </xf>
    <xf numFmtId="0" fontId="1" fillId="12" borderId="42" xfId="0" applyFont="1" applyFill="1" applyBorder="1"/>
    <xf numFmtId="0" fontId="1" fillId="0" borderId="43" xfId="0" applyFont="1" applyBorder="1" applyAlignment="1">
      <alignment horizontal="center" vertical="center" wrapText="1"/>
    </xf>
    <xf numFmtId="169" fontId="1" fillId="0" borderId="44" xfId="0" applyNumberFormat="1" applyFont="1" applyBorder="1" applyAlignment="1">
      <alignment horizontal="center" vertical="center" wrapText="1"/>
    </xf>
    <xf numFmtId="0" fontId="13" fillId="10" borderId="25" xfId="0" applyFont="1" applyFill="1" applyBorder="1" applyAlignment="1">
      <alignment horizontal="center" vertical="center" wrapText="1"/>
    </xf>
    <xf numFmtId="0" fontId="13" fillId="10" borderId="42" xfId="0" applyFont="1" applyFill="1" applyBorder="1" applyAlignment="1">
      <alignment horizontal="center" vertical="center" wrapText="1"/>
    </xf>
    <xf numFmtId="0" fontId="13" fillId="10" borderId="23" xfId="0" applyFont="1" applyFill="1" applyBorder="1" applyAlignment="1">
      <alignment horizontal="center" vertical="center" wrapText="1"/>
    </xf>
    <xf numFmtId="0" fontId="1" fillId="0" borderId="22" xfId="0" applyFont="1" applyBorder="1" applyAlignment="1">
      <alignment horizontal="center" vertical="center" wrapText="1"/>
    </xf>
    <xf numFmtId="0" fontId="1" fillId="0" borderId="45" xfId="0" applyFont="1" applyBorder="1" applyAlignment="1">
      <alignment horizontal="center" vertical="center" wrapText="1"/>
    </xf>
    <xf numFmtId="168" fontId="1" fillId="0" borderId="45" xfId="0" applyNumberFormat="1" applyFont="1" applyBorder="1" applyAlignment="1">
      <alignment horizontal="center" vertical="center" wrapText="1"/>
    </xf>
    <xf numFmtId="169" fontId="1" fillId="0" borderId="45" xfId="0" applyNumberFormat="1" applyFont="1" applyBorder="1" applyAlignment="1">
      <alignment horizontal="center" vertical="center" wrapText="1"/>
    </xf>
    <xf numFmtId="169" fontId="1" fillId="0" borderId="20" xfId="0" applyNumberFormat="1" applyFont="1" applyBorder="1" applyAlignment="1">
      <alignment horizontal="center" vertical="center" wrapText="1"/>
    </xf>
    <xf numFmtId="168" fontId="0" fillId="0" borderId="40" xfId="0" applyNumberFormat="1" applyFont="1" applyFill="1" applyBorder="1" applyAlignment="1">
      <alignment horizontal="center" vertical="center"/>
    </xf>
    <xf numFmtId="15" fontId="0" fillId="0" borderId="40" xfId="0" applyNumberFormat="1" applyFont="1" applyFill="1" applyBorder="1" applyAlignment="1">
      <alignment horizontal="center" vertical="center"/>
    </xf>
    <xf numFmtId="0" fontId="0" fillId="13" borderId="0" xfId="0" applyFill="1"/>
    <xf numFmtId="0" fontId="17" fillId="16" borderId="41" xfId="0" applyFont="1" applyFill="1" applyBorder="1" applyAlignment="1">
      <alignment horizontal="center" vertical="center" wrapText="1"/>
    </xf>
    <xf numFmtId="0" fontId="18" fillId="15" borderId="41" xfId="0" applyFont="1" applyFill="1" applyBorder="1" applyAlignment="1">
      <alignment horizontal="center" vertical="center" wrapText="1"/>
    </xf>
    <xf numFmtId="0" fontId="20" fillId="0" borderId="41" xfId="0" applyFont="1" applyBorder="1" applyAlignment="1">
      <alignment horizontal="right"/>
    </xf>
    <xf numFmtId="0" fontId="12" fillId="0" borderId="41" xfId="0" applyFont="1" applyBorder="1" applyAlignment="1">
      <alignment horizontal="left"/>
    </xf>
    <xf numFmtId="0" fontId="21" fillId="17" borderId="41" xfId="0" applyFont="1" applyFill="1" applyBorder="1" applyAlignment="1">
      <alignment horizontal="right"/>
    </xf>
    <xf numFmtId="0" fontId="21" fillId="17" borderId="41" xfId="0" applyFont="1" applyFill="1" applyBorder="1" applyAlignment="1">
      <alignment horizontal="left"/>
    </xf>
    <xf numFmtId="0" fontId="19" fillId="14" borderId="40" xfId="2" applyFont="1" applyBorder="1" applyAlignment="1">
      <alignment horizontal="center" vertical="center"/>
    </xf>
    <xf numFmtId="0" fontId="13" fillId="18" borderId="46" xfId="3" applyAlignment="1">
      <alignment horizontal="center" vertical="center"/>
    </xf>
    <xf numFmtId="171" fontId="22" fillId="0" borderId="0" xfId="0" applyNumberFormat="1" applyFont="1"/>
    <xf numFmtId="0" fontId="22" fillId="0" borderId="0" xfId="0" applyFont="1" applyAlignment="1">
      <alignment horizontal="left"/>
    </xf>
    <xf numFmtId="172" fontId="22" fillId="0" borderId="0" xfId="0" applyNumberFormat="1" applyFont="1" applyAlignment="1"/>
    <xf numFmtId="171" fontId="22" fillId="0" borderId="41" xfId="0" applyNumberFormat="1" applyFont="1" applyBorder="1"/>
    <xf numFmtId="0" fontId="23" fillId="0" borderId="41" xfId="0" applyNumberFormat="1" applyFont="1" applyBorder="1"/>
    <xf numFmtId="0" fontId="24" fillId="0" borderId="41" xfId="0" applyFont="1" applyBorder="1" applyAlignment="1">
      <alignment horizontal="right"/>
    </xf>
    <xf numFmtId="0" fontId="25" fillId="0" borderId="41" xfId="0" applyFont="1" applyBorder="1"/>
    <xf numFmtId="0" fontId="0" fillId="19" borderId="47" xfId="0" applyFill="1" applyBorder="1"/>
    <xf numFmtId="0" fontId="0" fillId="19" borderId="48" xfId="0" applyFill="1" applyBorder="1"/>
    <xf numFmtId="0" fontId="0" fillId="19" borderId="49" xfId="0" applyFill="1" applyBorder="1"/>
    <xf numFmtId="0" fontId="0" fillId="19" borderId="50" xfId="0" applyFill="1" applyBorder="1"/>
    <xf numFmtId="173" fontId="1" fillId="19" borderId="0" xfId="0" applyNumberFormat="1" applyFont="1" applyFill="1" applyBorder="1"/>
    <xf numFmtId="0" fontId="0" fillId="19" borderId="0" xfId="0" applyFill="1" applyBorder="1"/>
    <xf numFmtId="0" fontId="0" fillId="19" borderId="51" xfId="0" applyFill="1" applyBorder="1"/>
    <xf numFmtId="0" fontId="0" fillId="19" borderId="52" xfId="0" applyFill="1" applyBorder="1"/>
    <xf numFmtId="0" fontId="0" fillId="19" borderId="53" xfId="0" applyFill="1" applyBorder="1"/>
    <xf numFmtId="0" fontId="0" fillId="19" borderId="54" xfId="0" applyFill="1" applyBorder="1"/>
    <xf numFmtId="0" fontId="12" fillId="0" borderId="0" xfId="0" applyNumberFormat="1" applyFont="1" applyFill="1"/>
    <xf numFmtId="0" fontId="12" fillId="0" borderId="0" xfId="0" applyNumberFormat="1" applyFont="1" applyAlignment="1">
      <alignment horizontal="left" vertical="center" indent="1"/>
    </xf>
    <xf numFmtId="0" fontId="0" fillId="0" borderId="0" xfId="0" applyFont="1" applyAlignment="1">
      <alignment horizontal="center"/>
    </xf>
    <xf numFmtId="0" fontId="12" fillId="0" borderId="0" xfId="0" applyFont="1"/>
    <xf numFmtId="0" fontId="29" fillId="10" borderId="55" xfId="0" applyFont="1" applyFill="1" applyBorder="1" applyAlignment="1">
      <alignment horizontal="center"/>
    </xf>
    <xf numFmtId="167" fontId="0" fillId="0" borderId="0" xfId="0" applyNumberFormat="1"/>
    <xf numFmtId="167" fontId="0" fillId="0" borderId="0" xfId="0" applyNumberFormat="1" applyFill="1" applyBorder="1"/>
    <xf numFmtId="174" fontId="0" fillId="0" borderId="0" xfId="0" applyNumberFormat="1" applyFont="1" applyAlignment="1">
      <alignment horizontal="center"/>
    </xf>
    <xf numFmtId="0" fontId="1" fillId="0" borderId="25" xfId="0" applyFont="1" applyBorder="1" applyAlignment="1">
      <alignment horizontal="center"/>
    </xf>
    <xf numFmtId="0" fontId="1" fillId="0" borderId="42" xfId="0" applyFont="1" applyBorder="1" applyAlignment="1">
      <alignment horizontal="center"/>
    </xf>
    <xf numFmtId="0" fontId="1" fillId="0" borderId="23" xfId="0" applyFont="1" applyBorder="1" applyAlignment="1">
      <alignment horizontal="center"/>
    </xf>
    <xf numFmtId="167" fontId="1" fillId="0" borderId="43" xfId="0" applyNumberFormat="1" applyFont="1" applyBorder="1" applyAlignment="1">
      <alignment horizontal="center"/>
    </xf>
    <xf numFmtId="0" fontId="1" fillId="0" borderId="41" xfId="0" applyFont="1" applyBorder="1" applyAlignment="1">
      <alignment horizontal="center"/>
    </xf>
    <xf numFmtId="0" fontId="1" fillId="0" borderId="44" xfId="0" applyFont="1" applyBorder="1" applyAlignment="1">
      <alignment horizontal="center"/>
    </xf>
    <xf numFmtId="167" fontId="1" fillId="0" borderId="22" xfId="0" applyNumberFormat="1" applyFont="1" applyBorder="1" applyAlignment="1">
      <alignment horizontal="center"/>
    </xf>
    <xf numFmtId="0" fontId="1" fillId="0" borderId="45" xfId="0" applyFont="1" applyBorder="1" applyAlignment="1">
      <alignment horizontal="center"/>
    </xf>
    <xf numFmtId="0" fontId="1" fillId="0" borderId="20" xfId="0" applyFont="1" applyBorder="1" applyAlignment="1">
      <alignment horizontal="center"/>
    </xf>
    <xf numFmtId="0" fontId="1" fillId="0" borderId="44" xfId="0" applyNumberFormat="1" applyFont="1" applyBorder="1" applyAlignment="1">
      <alignment horizontal="center"/>
    </xf>
    <xf numFmtId="0" fontId="1" fillId="0" borderId="59" xfId="0" applyFont="1" applyBorder="1" applyAlignment="1">
      <alignment horizontal="center" vertical="center" wrapText="1"/>
    </xf>
    <xf numFmtId="175" fontId="1" fillId="0" borderId="59" xfId="0" applyNumberFormat="1" applyFont="1" applyBorder="1" applyAlignment="1">
      <alignment horizontal="center" vertical="center" wrapText="1"/>
    </xf>
    <xf numFmtId="177" fontId="1" fillId="0" borderId="59" xfId="0" applyNumberFormat="1" applyFont="1" applyBorder="1" applyAlignment="1">
      <alignment horizontal="center" vertical="center" wrapText="1"/>
    </xf>
    <xf numFmtId="9" fontId="1" fillId="0" borderId="59" xfId="0" applyNumberFormat="1" applyFont="1" applyBorder="1" applyAlignment="1">
      <alignment horizontal="center" vertical="center" wrapText="1"/>
    </xf>
    <xf numFmtId="176" fontId="1" fillId="0" borderId="59" xfId="0" applyNumberFormat="1" applyFont="1" applyBorder="1" applyAlignment="1">
      <alignment horizontal="center" vertical="center" wrapText="1"/>
    </xf>
    <xf numFmtId="0" fontId="1" fillId="0" borderId="58" xfId="0" applyFont="1" applyBorder="1" applyAlignment="1">
      <alignment horizontal="center" vertical="center" wrapText="1"/>
    </xf>
    <xf numFmtId="175" fontId="1" fillId="0" borderId="58" xfId="0" applyNumberFormat="1" applyFont="1" applyBorder="1" applyAlignment="1">
      <alignment horizontal="center" vertical="center" wrapText="1"/>
    </xf>
    <xf numFmtId="177" fontId="1" fillId="0" borderId="58" xfId="0" applyNumberFormat="1" applyFont="1" applyBorder="1" applyAlignment="1">
      <alignment horizontal="center" vertical="center" wrapText="1"/>
    </xf>
    <xf numFmtId="9" fontId="1" fillId="0" borderId="58" xfId="0" applyNumberFormat="1" applyFont="1" applyBorder="1" applyAlignment="1">
      <alignment horizontal="center" vertical="center" wrapText="1"/>
    </xf>
    <xf numFmtId="176" fontId="1" fillId="0" borderId="58" xfId="0" applyNumberFormat="1" applyFont="1" applyBorder="1" applyAlignment="1">
      <alignment horizontal="center" vertical="center" wrapText="1"/>
    </xf>
    <xf numFmtId="0" fontId="0" fillId="0" borderId="60" xfId="0" applyBorder="1" applyAlignment="1">
      <alignment horizontal="center" vertical="center"/>
    </xf>
    <xf numFmtId="0" fontId="13" fillId="0" borderId="0" xfId="0" applyFont="1" applyAlignment="1">
      <alignment horizontal="left"/>
    </xf>
    <xf numFmtId="9" fontId="12" fillId="0" borderId="0" xfId="0" applyNumberFormat="1" applyFont="1"/>
    <xf numFmtId="9" fontId="13" fillId="22" borderId="40" xfId="4" applyNumberFormat="1" applyFont="1" applyBorder="1" applyAlignment="1">
      <alignment horizontal="center" vertical="center"/>
    </xf>
    <xf numFmtId="0" fontId="1" fillId="0" borderId="36" xfId="0" applyFont="1" applyBorder="1" applyAlignment="1">
      <alignment horizontal="center" vertical="center" wrapText="1"/>
    </xf>
    <xf numFmtId="175" fontId="1" fillId="0" borderId="36" xfId="0" applyNumberFormat="1" applyFont="1" applyBorder="1" applyAlignment="1">
      <alignment horizontal="center" vertical="center" wrapText="1"/>
    </xf>
    <xf numFmtId="177" fontId="1" fillId="0" borderId="36" xfId="0" applyNumberFormat="1" applyFont="1" applyBorder="1" applyAlignment="1">
      <alignment horizontal="center" vertical="center" wrapText="1"/>
    </xf>
    <xf numFmtId="9" fontId="1" fillId="0" borderId="36" xfId="0" applyNumberFormat="1" applyFont="1" applyBorder="1" applyAlignment="1">
      <alignment horizontal="center" vertical="center" wrapText="1"/>
    </xf>
    <xf numFmtId="176" fontId="1" fillId="0" borderId="36" xfId="0" applyNumberFormat="1" applyFont="1" applyBorder="1" applyAlignment="1">
      <alignment horizontal="center" vertical="center" wrapText="1"/>
    </xf>
    <xf numFmtId="0" fontId="32" fillId="21" borderId="41" xfId="0" applyFont="1" applyFill="1" applyBorder="1" applyAlignment="1">
      <alignment horizontal="center" vertical="center" wrapText="1"/>
    </xf>
    <xf numFmtId="0" fontId="17" fillId="16" borderId="25" xfId="0" applyFont="1" applyFill="1" applyBorder="1" applyAlignment="1">
      <alignment horizontal="center" vertical="center"/>
    </xf>
    <xf numFmtId="0" fontId="17" fillId="16" borderId="42" xfId="0" applyFont="1" applyFill="1" applyBorder="1" applyAlignment="1">
      <alignment horizontal="center" vertical="center"/>
    </xf>
    <xf numFmtId="0" fontId="17" fillId="16" borderId="23" xfId="0" applyFont="1" applyFill="1" applyBorder="1" applyAlignment="1">
      <alignment horizontal="center" vertical="center"/>
    </xf>
    <xf numFmtId="0" fontId="18" fillId="15" borderId="43" xfId="0" applyFont="1" applyFill="1" applyBorder="1" applyAlignment="1">
      <alignment horizontal="center" vertical="center"/>
    </xf>
    <xf numFmtId="0" fontId="18" fillId="15" borderId="41" xfId="0" applyFont="1" applyFill="1" applyBorder="1" applyAlignment="1">
      <alignment horizontal="center" vertical="center"/>
    </xf>
    <xf numFmtId="4" fontId="18" fillId="15" borderId="44" xfId="0" applyNumberFormat="1" applyFont="1" applyFill="1" applyBorder="1" applyAlignment="1">
      <alignment horizontal="center" vertical="center"/>
    </xf>
    <xf numFmtId="0" fontId="18" fillId="15" borderId="22" xfId="0" applyFont="1" applyFill="1" applyBorder="1" applyAlignment="1">
      <alignment horizontal="center" vertical="center"/>
    </xf>
    <xf numFmtId="0" fontId="18" fillId="15" borderId="45" xfId="0" applyFont="1" applyFill="1" applyBorder="1" applyAlignment="1">
      <alignment horizontal="center" vertical="center"/>
    </xf>
    <xf numFmtId="4" fontId="18" fillId="15" borderId="20" xfId="0" applyNumberFormat="1" applyFont="1" applyFill="1" applyBorder="1" applyAlignment="1">
      <alignment horizontal="center" vertical="center"/>
    </xf>
    <xf numFmtId="0" fontId="15" fillId="7" borderId="41" xfId="0" applyFont="1" applyFill="1" applyBorder="1" applyAlignment="1">
      <alignment horizontal="center"/>
    </xf>
    <xf numFmtId="0" fontId="1" fillId="0" borderId="41" xfId="0" applyFont="1" applyFill="1" applyBorder="1" applyAlignment="1">
      <alignment horizontal="center"/>
    </xf>
    <xf numFmtId="0" fontId="33" fillId="0" borderId="61" xfId="0" applyFont="1" applyBorder="1" applyAlignment="1">
      <alignment horizontal="center" wrapText="1"/>
    </xf>
    <xf numFmtId="0" fontId="33" fillId="0" borderId="62" xfId="0" applyFont="1" applyBorder="1" applyAlignment="1">
      <alignment horizontal="center" wrapText="1"/>
    </xf>
    <xf numFmtId="0" fontId="1" fillId="0" borderId="63" xfId="0" applyFont="1" applyBorder="1" applyAlignment="1">
      <alignment horizontal="center" wrapText="1"/>
    </xf>
    <xf numFmtId="0" fontId="1" fillId="0" borderId="64" xfId="0" applyFont="1" applyBorder="1" applyAlignment="1">
      <alignment horizontal="center" wrapText="1"/>
    </xf>
    <xf numFmtId="0" fontId="1" fillId="0" borderId="65" xfId="0" applyFont="1" applyBorder="1" applyAlignment="1">
      <alignment horizontal="center" wrapText="1"/>
    </xf>
    <xf numFmtId="0" fontId="1" fillId="0" borderId="66" xfId="0" applyFont="1" applyBorder="1" applyAlignment="1">
      <alignment horizontal="center" wrapText="1"/>
    </xf>
    <xf numFmtId="178" fontId="1" fillId="0" borderId="41" xfId="0" applyNumberFormat="1" applyFont="1" applyFill="1" applyBorder="1" applyAlignment="1">
      <alignment horizontal="center"/>
    </xf>
    <xf numFmtId="0" fontId="1" fillId="24" borderId="67" xfId="0" applyFont="1" applyFill="1" applyBorder="1" applyAlignment="1">
      <alignment horizontal="center" vertical="center" wrapText="1"/>
    </xf>
    <xf numFmtId="179" fontId="1" fillId="24" borderId="67" xfId="0" applyNumberFormat="1" applyFont="1" applyFill="1" applyBorder="1" applyAlignment="1">
      <alignment horizontal="center" vertical="center" wrapText="1"/>
    </xf>
    <xf numFmtId="0" fontId="1" fillId="24" borderId="43" xfId="0" applyFont="1" applyFill="1" applyBorder="1" applyAlignment="1">
      <alignment horizontal="center" vertical="center" wrapText="1"/>
    </xf>
    <xf numFmtId="0" fontId="1" fillId="24" borderId="44" xfId="0" applyFont="1" applyFill="1" applyBorder="1" applyAlignment="1">
      <alignment horizontal="center" vertical="center" wrapText="1"/>
    </xf>
    <xf numFmtId="0" fontId="14" fillId="23" borderId="25" xfId="0" applyFont="1" applyFill="1" applyBorder="1" applyAlignment="1">
      <alignment horizontal="center" vertical="center" wrapText="1"/>
    </xf>
    <xf numFmtId="0" fontId="14" fillId="23" borderId="23" xfId="0" applyFont="1" applyFill="1" applyBorder="1" applyAlignment="1">
      <alignment horizontal="center" vertical="center" wrapText="1"/>
    </xf>
    <xf numFmtId="0" fontId="1" fillId="24" borderId="22" xfId="0" applyFont="1" applyFill="1" applyBorder="1" applyAlignment="1">
      <alignment horizontal="center" vertical="center" wrapText="1"/>
    </xf>
    <xf numFmtId="0" fontId="1" fillId="24" borderId="20" xfId="0" applyFont="1" applyFill="1" applyBorder="1" applyAlignment="1">
      <alignment horizontal="center" vertical="center" wrapText="1"/>
    </xf>
    <xf numFmtId="0" fontId="1" fillId="24" borderId="68" xfId="0" applyFont="1" applyFill="1" applyBorder="1" applyAlignment="1">
      <alignment horizontal="center" vertical="center" wrapText="1"/>
    </xf>
    <xf numFmtId="9" fontId="1" fillId="24" borderId="69" xfId="0" applyNumberFormat="1" applyFont="1" applyFill="1" applyBorder="1" applyAlignment="1">
      <alignment horizontal="center" vertical="center" wrapText="1"/>
    </xf>
    <xf numFmtId="0" fontId="14" fillId="23" borderId="70" xfId="0" applyFont="1" applyFill="1" applyBorder="1" applyAlignment="1">
      <alignment horizontal="center" vertical="center" wrapText="1"/>
    </xf>
    <xf numFmtId="0" fontId="14" fillId="23" borderId="71" xfId="0" applyFont="1" applyFill="1" applyBorder="1" applyAlignment="1">
      <alignment horizontal="center" vertical="center" wrapText="1"/>
    </xf>
    <xf numFmtId="0" fontId="14" fillId="23" borderId="72" xfId="0" applyFont="1" applyFill="1" applyBorder="1" applyAlignment="1">
      <alignment horizontal="center" vertical="center" wrapText="1"/>
    </xf>
    <xf numFmtId="0" fontId="1" fillId="24" borderId="73" xfId="0" applyFont="1" applyFill="1" applyBorder="1" applyAlignment="1">
      <alignment horizontal="center" vertical="center" wrapText="1"/>
    </xf>
    <xf numFmtId="0" fontId="1" fillId="24" borderId="74" xfId="0" applyFont="1" applyFill="1" applyBorder="1" applyAlignment="1">
      <alignment horizontal="center" vertical="center" wrapText="1"/>
    </xf>
    <xf numFmtId="179" fontId="1" fillId="24" borderId="74" xfId="0" applyNumberFormat="1" applyFont="1" applyFill="1" applyBorder="1" applyAlignment="1">
      <alignment horizontal="center" vertical="center" wrapText="1"/>
    </xf>
    <xf numFmtId="9" fontId="1" fillId="24" borderId="75" xfId="0" applyNumberFormat="1" applyFont="1" applyFill="1" applyBorder="1" applyAlignment="1">
      <alignment horizontal="center" vertical="center" wrapText="1"/>
    </xf>
    <xf numFmtId="0" fontId="1" fillId="0" borderId="41" xfId="0" pivotButton="1" applyFont="1" applyBorder="1" applyAlignment="1">
      <alignment horizontal="center" vertical="center"/>
    </xf>
    <xf numFmtId="0" fontId="1" fillId="0" borderId="41" xfId="0" applyFont="1" applyBorder="1" applyAlignment="1">
      <alignment horizontal="center" vertical="center"/>
    </xf>
    <xf numFmtId="164" fontId="1" fillId="0" borderId="41" xfId="0" applyNumberFormat="1" applyFont="1" applyBorder="1" applyAlignment="1">
      <alignment horizontal="center" vertical="center"/>
    </xf>
    <xf numFmtId="0" fontId="1" fillId="0" borderId="37" xfId="0" applyFont="1" applyFill="1" applyBorder="1" applyAlignment="1">
      <alignment horizontal="center" vertical="center" wrapText="1"/>
    </xf>
    <xf numFmtId="0" fontId="32" fillId="0" borderId="81" xfId="0" applyFont="1" applyFill="1" applyBorder="1" applyAlignment="1">
      <alignment horizontal="center" vertical="center" wrapText="1"/>
    </xf>
    <xf numFmtId="0" fontId="32" fillId="0" borderId="82" xfId="0" applyFont="1" applyFill="1" applyBorder="1" applyAlignment="1">
      <alignment horizontal="center" vertical="center" wrapText="1"/>
    </xf>
    <xf numFmtId="178" fontId="1" fillId="0" borderId="80" xfId="0" applyNumberFormat="1" applyFont="1" applyFill="1" applyBorder="1" applyAlignment="1">
      <alignment horizontal="center" vertical="center" wrapText="1"/>
    </xf>
    <xf numFmtId="167" fontId="1" fillId="0" borderId="79" xfId="0" applyNumberFormat="1" applyFont="1" applyFill="1" applyBorder="1" applyAlignment="1">
      <alignment horizontal="center" vertical="center" wrapText="1"/>
    </xf>
    <xf numFmtId="0" fontId="34" fillId="5" borderId="76" xfId="0" applyFont="1" applyFill="1" applyBorder="1" applyAlignment="1">
      <alignment horizontal="center" vertical="center" wrapText="1"/>
    </xf>
    <xf numFmtId="0" fontId="34" fillId="5" borderId="77" xfId="0" applyFont="1" applyFill="1" applyBorder="1" applyAlignment="1">
      <alignment horizontal="center" vertical="center" wrapText="1"/>
    </xf>
    <xf numFmtId="0" fontId="34" fillId="5" borderId="78" xfId="0" applyFont="1" applyFill="1" applyBorder="1" applyAlignment="1">
      <alignment horizontal="center" vertical="center" wrapText="1"/>
    </xf>
    <xf numFmtId="167" fontId="1" fillId="0" borderId="37" xfId="0" applyNumberFormat="1" applyFont="1" applyFill="1" applyBorder="1" applyAlignment="1">
      <alignment horizontal="center" vertical="center" wrapText="1"/>
    </xf>
    <xf numFmtId="0" fontId="3" fillId="8" borderId="41" xfId="0" applyFont="1" applyFill="1" applyBorder="1" applyAlignment="1">
      <alignment horizontal="center"/>
    </xf>
    <xf numFmtId="0" fontId="3" fillId="8" borderId="43" xfId="0" applyFont="1" applyFill="1" applyBorder="1" applyAlignment="1">
      <alignment horizontal="center"/>
    </xf>
    <xf numFmtId="0" fontId="3" fillId="8" borderId="44" xfId="0" applyFont="1" applyFill="1" applyBorder="1" applyAlignment="1">
      <alignment horizontal="center"/>
    </xf>
    <xf numFmtId="0" fontId="35" fillId="25" borderId="25" xfId="0" applyFont="1" applyFill="1" applyBorder="1" applyAlignment="1">
      <alignment horizontal="center"/>
    </xf>
    <xf numFmtId="0" fontId="35" fillId="25" borderId="42" xfId="0" applyFont="1" applyFill="1" applyBorder="1" applyAlignment="1">
      <alignment horizontal="center"/>
    </xf>
    <xf numFmtId="0" fontId="35" fillId="25" borderId="23" xfId="0" applyFont="1" applyFill="1" applyBorder="1" applyAlignment="1">
      <alignment horizontal="center"/>
    </xf>
    <xf numFmtId="0" fontId="3" fillId="8" borderId="22" xfId="0" applyFont="1" applyFill="1" applyBorder="1" applyAlignment="1">
      <alignment horizontal="center"/>
    </xf>
    <xf numFmtId="0" fontId="3" fillId="8" borderId="45" xfId="0" applyFont="1" applyFill="1" applyBorder="1" applyAlignment="1">
      <alignment horizontal="center"/>
    </xf>
    <xf numFmtId="0" fontId="3" fillId="8" borderId="20" xfId="0" applyFont="1" applyFill="1" applyBorder="1" applyAlignment="1">
      <alignment horizontal="center"/>
    </xf>
    <xf numFmtId="0" fontId="17" fillId="16" borderId="41" xfId="0" applyFont="1" applyFill="1" applyBorder="1" applyAlignment="1">
      <alignment horizontal="center" vertical="center"/>
    </xf>
    <xf numFmtId="180" fontId="18" fillId="15" borderId="41" xfId="0" applyNumberFormat="1" applyFont="1" applyFill="1" applyBorder="1" applyAlignment="1">
      <alignment horizontal="center" vertical="center"/>
    </xf>
    <xf numFmtId="0" fontId="15" fillId="7" borderId="41" xfId="0" applyFont="1" applyFill="1" applyBorder="1" applyAlignment="1">
      <alignment horizontal="center" vertical="center"/>
    </xf>
    <xf numFmtId="0" fontId="1" fillId="0" borderId="41" xfId="0" applyFont="1" applyFill="1" applyBorder="1" applyAlignment="1">
      <alignment horizontal="center" vertical="center"/>
    </xf>
    <xf numFmtId="181" fontId="17" fillId="7" borderId="41" xfId="0" applyNumberFormat="1" applyFont="1" applyFill="1" applyBorder="1" applyAlignment="1">
      <alignment horizontal="center" vertical="center"/>
    </xf>
    <xf numFmtId="0" fontId="17" fillId="27" borderId="41" xfId="0" applyFont="1" applyFill="1" applyBorder="1" applyAlignment="1">
      <alignment horizontal="center"/>
    </xf>
    <xf numFmtId="0" fontId="2" fillId="26" borderId="41" xfId="0" applyFont="1" applyFill="1" applyBorder="1" applyAlignment="1">
      <alignment horizontal="center"/>
    </xf>
    <xf numFmtId="9" fontId="4" fillId="5" borderId="15" xfId="0" applyNumberFormat="1" applyFont="1" applyFill="1" applyBorder="1" applyAlignment="1">
      <alignment horizontal="center" vertical="center" wrapText="1"/>
    </xf>
    <xf numFmtId="9" fontId="4" fillId="5" borderId="19" xfId="0" applyNumberFormat="1" applyFont="1" applyFill="1" applyBorder="1" applyAlignment="1">
      <alignment horizontal="center" vertical="center" wrapText="1"/>
    </xf>
    <xf numFmtId="9" fontId="4" fillId="5" borderId="14" xfId="0" applyNumberFormat="1" applyFont="1" applyFill="1" applyBorder="1" applyAlignment="1">
      <alignment horizontal="center" vertical="center" wrapText="1"/>
    </xf>
    <xf numFmtId="0" fontId="6" fillId="6" borderId="20" xfId="0" applyFont="1" applyFill="1" applyBorder="1" applyAlignment="1">
      <alignment horizontal="center" vertical="center"/>
    </xf>
    <xf numFmtId="0" fontId="6" fillId="6" borderId="21" xfId="0" applyFont="1" applyFill="1" applyBorder="1" applyAlignment="1">
      <alignment horizontal="center" vertical="center"/>
    </xf>
    <xf numFmtId="0" fontId="6" fillId="6" borderId="22" xfId="0" applyFont="1" applyFill="1" applyBorder="1" applyAlignment="1">
      <alignment horizontal="center" vertical="center"/>
    </xf>
    <xf numFmtId="0" fontId="6" fillId="6" borderId="23" xfId="0" applyFont="1" applyFill="1" applyBorder="1" applyAlignment="1">
      <alignment horizontal="center" vertical="center"/>
    </xf>
    <xf numFmtId="0" fontId="6" fillId="6" borderId="24" xfId="0" applyFont="1" applyFill="1" applyBorder="1" applyAlignment="1">
      <alignment horizontal="center" vertical="center"/>
    </xf>
    <xf numFmtId="0" fontId="6" fillId="6" borderId="25" xfId="0" applyFont="1" applyFill="1" applyBorder="1" applyAlignment="1">
      <alignment horizontal="center" vertical="center"/>
    </xf>
    <xf numFmtId="17" fontId="1" fillId="0" borderId="15" xfId="0" applyNumberFormat="1" applyFont="1" applyBorder="1" applyAlignment="1">
      <alignment horizontal="center"/>
    </xf>
    <xf numFmtId="17" fontId="1" fillId="0" borderId="19" xfId="0" applyNumberFormat="1" applyFont="1" applyBorder="1" applyAlignment="1">
      <alignment horizontal="center"/>
    </xf>
    <xf numFmtId="17" fontId="1" fillId="0" borderId="14" xfId="0" applyNumberFormat="1" applyFont="1" applyBorder="1" applyAlignment="1">
      <alignment horizontal="center"/>
    </xf>
    <xf numFmtId="0" fontId="30" fillId="9" borderId="56" xfId="0" applyFont="1" applyFill="1" applyBorder="1" applyAlignment="1">
      <alignment horizontal="center" wrapText="1"/>
    </xf>
    <xf numFmtId="0" fontId="0" fillId="20" borderId="57" xfId="0" applyFill="1" applyBorder="1" applyAlignment="1">
      <alignment horizontal="center" wrapText="1"/>
    </xf>
    <xf numFmtId="0" fontId="31" fillId="11" borderId="0" xfId="0" applyFont="1" applyFill="1" applyAlignment="1">
      <alignment horizontal="center" vertical="center" wrapText="1"/>
    </xf>
    <xf numFmtId="0" fontId="36" fillId="28" borderId="25" xfId="0" applyFont="1" applyFill="1" applyBorder="1" applyAlignment="1">
      <alignment horizontal="center" vertical="center" wrapText="1"/>
    </xf>
    <xf numFmtId="0" fontId="36" fillId="28" borderId="42" xfId="0" applyFont="1" applyFill="1" applyBorder="1" applyAlignment="1">
      <alignment horizontal="center" vertical="center" wrapText="1"/>
    </xf>
    <xf numFmtId="0" fontId="36" fillId="28" borderId="23" xfId="0" applyFont="1" applyFill="1" applyBorder="1" applyAlignment="1">
      <alignment horizontal="center" vertical="center" wrapText="1"/>
    </xf>
    <xf numFmtId="0" fontId="1" fillId="0" borderId="44" xfId="0" applyFont="1" applyBorder="1" applyAlignment="1">
      <alignment horizontal="center" vertical="center" wrapText="1"/>
    </xf>
    <xf numFmtId="0" fontId="1" fillId="0" borderId="20" xfId="0" applyFont="1" applyBorder="1" applyAlignment="1">
      <alignment horizontal="center" vertical="center" wrapText="1"/>
    </xf>
  </cellXfs>
  <cellStyles count="5">
    <cellStyle name="Accent6" xfId="4" builtinId="49"/>
    <cellStyle name="Check Cell" xfId="3" builtinId="23"/>
    <cellStyle name="Good" xfId="2" builtinId="26"/>
    <cellStyle name="Hyperlink" xfId="1" builtinId="8"/>
    <cellStyle name="Normal" xfId="0" builtinId="0"/>
  </cellStyles>
  <dxfs count="198">
    <dxf>
      <font>
        <b/>
        <i val="0"/>
        <strike val="0"/>
        <condense val="0"/>
        <extend val="0"/>
        <outline val="0"/>
        <shadow val="0"/>
        <u val="none"/>
        <vertAlign val="baseline"/>
        <sz val="13"/>
        <color rgb="FF44546A"/>
        <name val="Calibri"/>
        <family val="2"/>
        <scheme val="minor"/>
      </font>
      <fill>
        <patternFill patternType="solid">
          <fgColor indexed="64"/>
          <bgColor rgb="FFFFC000"/>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font>
        <b/>
      </font>
      <alignment horizontal="center" vertical="center"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font>
        <b/>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font>
      <alignment horizontal="center" vertical="center" textRotation="0" wrapText="1" indent="0" justifyLastLine="0" shrinkToFit="0" readingOrder="0"/>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bottom style="thin">
          <color auto="1"/>
        </bottom>
      </border>
    </dxf>
    <dxf>
      <border diagonalUp="0" diagonalDown="0">
        <left style="thin">
          <color auto="1"/>
        </left>
        <right style="thin">
          <color auto="1"/>
        </right>
        <top style="thin">
          <color auto="1"/>
        </top>
        <bottom style="thin">
          <color auto="1"/>
        </bottom>
      </border>
    </dxf>
    <dxf>
      <font>
        <b/>
        <family val="2"/>
      </font>
      <alignment horizontal="center" vertical="center" textRotation="0" wrapText="1" indent="0" justifyLastLine="0" shrinkToFit="0" readingOrder="0"/>
    </dxf>
    <dxf>
      <font>
        <b/>
        <i val="0"/>
        <strike val="0"/>
        <condense val="0"/>
        <extend val="0"/>
        <outline val="0"/>
        <shadow val="0"/>
        <u val="none"/>
        <vertAlign val="baseline"/>
        <sz val="11"/>
        <color indexed="8"/>
        <name val="Calibri"/>
        <family val="2"/>
        <scheme val="minor"/>
      </font>
      <fill>
        <patternFill patternType="darkGray">
          <fgColor indexed="9"/>
          <bgColor indexed="13"/>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1"/>
        <color indexed="8"/>
        <name val="Calibri"/>
        <family val="2"/>
        <scheme val="minor"/>
      </font>
      <fill>
        <patternFill patternType="darkGray">
          <fgColor indexed="9"/>
          <bgColor indexed="1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indexed="8"/>
        <name val="Calibri"/>
        <family val="2"/>
        <scheme val="minor"/>
      </font>
      <fill>
        <patternFill patternType="darkGray">
          <fgColor indexed="9"/>
          <bgColor indexed="13"/>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indexed="8"/>
        <name val="Calibri"/>
        <family val="2"/>
        <scheme val="minor"/>
      </font>
      <fill>
        <patternFill patternType="darkGray">
          <fgColor indexed="9"/>
          <bgColor indexed="13"/>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strike val="0"/>
        <condense val="0"/>
        <extend val="0"/>
        <outline val="0"/>
        <shadow val="0"/>
        <u val="none"/>
        <vertAlign val="baseline"/>
        <sz val="11"/>
        <color indexed="9"/>
        <name val="Calibri"/>
        <family val="2"/>
        <scheme val="minor"/>
      </font>
      <fill>
        <patternFill patternType="solid">
          <fgColor indexed="24"/>
          <bgColor indexed="16"/>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color theme="0"/>
      </font>
      <fill>
        <patternFill>
          <bgColor rgb="FFFF0000"/>
        </patternFill>
      </fill>
      <border>
        <left style="thin">
          <color rgb="FFC00000"/>
        </left>
        <right style="thin">
          <color rgb="FFC00000"/>
        </right>
        <top style="thin">
          <color rgb="FFC00000"/>
        </top>
        <bottom style="thin">
          <color rgb="FFC00000"/>
        </bottom>
        <vertical/>
        <horizontal/>
      </border>
    </dxf>
    <dxf>
      <font>
        <b/>
        <i/>
        <color theme="0"/>
      </font>
      <fill>
        <patternFill>
          <bgColor theme="9"/>
        </patternFill>
      </fill>
      <border>
        <left style="thin">
          <color theme="8"/>
        </left>
        <right style="thin">
          <color theme="8"/>
        </right>
        <top style="thin">
          <color theme="8"/>
        </top>
        <bottom style="thin">
          <color theme="8"/>
        </bottom>
        <vertical/>
        <horizontal/>
      </border>
    </dxf>
    <dxf>
      <font>
        <b/>
        <i/>
        <color theme="3"/>
      </font>
      <fill>
        <patternFill>
          <bgColor rgb="FF00B0F0"/>
        </patternFill>
      </fill>
      <border>
        <left style="thin">
          <color theme="5"/>
        </left>
        <right style="thin">
          <color theme="5"/>
        </right>
        <top style="thin">
          <color theme="5"/>
        </top>
        <bottom style="thin">
          <color theme="5"/>
        </bottom>
        <vertical/>
        <horizontal/>
      </border>
    </dxf>
    <dxf>
      <font>
        <b/>
        <i/>
        <color theme="0"/>
      </font>
      <fill>
        <patternFill>
          <bgColor rgb="FF92D050"/>
        </patternFill>
      </fill>
      <border>
        <left style="thin">
          <color theme="1"/>
        </left>
        <right style="thin">
          <color theme="1"/>
        </right>
        <top style="thin">
          <color theme="1"/>
        </top>
        <bottom style="thin">
          <color theme="1"/>
        </bottom>
        <vertical/>
        <horizontal/>
      </border>
    </dxf>
    <dxf>
      <font>
        <b/>
        <i/>
        <color theme="0"/>
      </font>
      <fill>
        <patternFill>
          <bgColor rgb="FF92D050"/>
        </patternFill>
      </fill>
      <border>
        <left style="thin">
          <color theme="1"/>
        </left>
        <right style="thin">
          <color theme="1"/>
        </right>
        <top style="thin">
          <color theme="1"/>
        </top>
        <bottom style="thin">
          <color theme="1"/>
        </bottom>
        <vertical/>
        <horizontal/>
      </border>
    </dxf>
    <dxf>
      <font>
        <b/>
        <i val="0"/>
        <strike val="0"/>
        <condense val="0"/>
        <extend val="0"/>
        <outline val="0"/>
        <shadow val="0"/>
        <u val="none"/>
        <vertAlign val="baseline"/>
        <sz val="11"/>
        <color theme="1"/>
        <name val="Calibri"/>
        <family val="2"/>
        <scheme val="minor"/>
      </font>
      <numFmt numFmtId="13" formatCode="0%"/>
      <fill>
        <patternFill patternType="solid">
          <fgColor indexed="64"/>
          <bgColor rgb="FFD9E2F3"/>
        </patternFill>
      </fill>
      <alignment horizontal="center" vertical="center"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i val="0"/>
        <strike val="0"/>
        <condense val="0"/>
        <extend val="0"/>
        <outline val="0"/>
        <shadow val="0"/>
        <u val="none"/>
        <vertAlign val="baseline"/>
        <sz val="11"/>
        <color theme="1"/>
        <name val="Calibri"/>
        <family val="2"/>
        <scheme val="minor"/>
      </font>
      <numFmt numFmtId="179" formatCode="[$₹-447]#,##0.00;[Red][$₹-447]\-#,##0.00"/>
      <fill>
        <patternFill patternType="solid">
          <fgColor indexed="64"/>
          <bgColor rgb="FFD9E2F3"/>
        </patternFill>
      </fill>
      <alignment horizontal="center" vertical="center"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D9E2F3"/>
        </patternFill>
      </fill>
      <alignment horizontal="center" vertical="center"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D9E2F3"/>
        </patternFill>
      </fill>
      <alignment horizontal="center" vertical="center"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D9E2F3"/>
        </patternFill>
      </fill>
      <alignment horizontal="center" vertical="center"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D9E2F3"/>
        </patternFill>
      </fill>
      <alignment horizontal="center" vertical="center"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ont>
        <b/>
        <i val="0"/>
        <strike val="0"/>
        <condense val="0"/>
        <extend val="0"/>
        <outline val="0"/>
        <shadow val="0"/>
        <u val="none"/>
        <vertAlign val="baseline"/>
        <sz val="11"/>
        <color theme="1"/>
        <name val="Calibri"/>
        <family val="2"/>
        <scheme val="minor"/>
      </font>
      <fill>
        <patternFill patternType="solid">
          <fgColor indexed="64"/>
          <bgColor rgb="FFD9E2F3"/>
        </patternFill>
      </fill>
      <alignment horizontal="center" vertical="center" textRotation="0" wrapText="1" indent="0" justifyLastLine="0" shrinkToFit="0" readingOrder="0"/>
    </dxf>
    <dxf>
      <border outline="0">
        <bottom style="medium">
          <color rgb="FFCCCCCC"/>
        </bottom>
      </border>
    </dxf>
    <dxf>
      <font>
        <b/>
        <i val="0"/>
        <strike val="0"/>
        <condense val="0"/>
        <extend val="0"/>
        <outline val="0"/>
        <shadow val="0"/>
        <u val="none"/>
        <vertAlign val="baseline"/>
        <sz val="11"/>
        <color rgb="FFFFFFFF"/>
        <name val="Calibri"/>
        <family val="2"/>
        <scheme val="minor"/>
      </font>
      <fill>
        <patternFill patternType="solid">
          <fgColor indexed="64"/>
          <bgColor rgb="FF4472C4"/>
        </patternFill>
      </fill>
      <alignment horizontal="center" vertical="center"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family val="2"/>
        <scheme val="minor"/>
      </font>
      <fill>
        <patternFill patternType="solid">
          <fgColor indexed="64"/>
          <bgColor rgb="FFD9E2F3"/>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D9E2F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scheme val="minor"/>
      </font>
      <fill>
        <patternFill patternType="solid">
          <fgColor indexed="64"/>
          <bgColor rgb="FF4472C4"/>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64" formatCode="[$₹-4009]\ #,##0.00;[Red][$₹-4009]\ #,##0.00"/>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82" formatCode="[$₹-447]#,##0.00;[$₹-447]\-#,##0.00"/>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border diagonalUp="0" diagonalDown="0">
        <left style="thick">
          <color rgb="FF000000"/>
        </left>
        <right/>
        <top style="thick">
          <color rgb="FF000000"/>
        </top>
        <bottom style="thick">
          <color rgb="FF000000"/>
        </bottom>
        <vertical style="thick">
          <color rgb="FF000000"/>
        </vertical>
        <horizontal style="thick">
          <color rgb="FF000000"/>
        </horizontal>
      </border>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border diagonalUp="0" diagonalDown="0">
        <left/>
        <right style="thick">
          <color rgb="FF000000"/>
        </right>
        <top style="thick">
          <color rgb="FF000000"/>
        </top>
        <bottom style="thick">
          <color rgb="FF000000"/>
        </bottom>
        <vertical style="thick">
          <color rgb="FF000000"/>
        </vertical>
        <horizontal style="thick">
          <color rgb="FF000000"/>
        </horizontal>
      </border>
    </dxf>
    <dxf>
      <border>
        <top style="thick">
          <color rgb="FF000000"/>
        </top>
      </border>
    </dxf>
    <dxf>
      <border diagonalUp="0" diagonalDown="0">
        <left style="thick">
          <color rgb="FF000000"/>
        </left>
        <right style="thick">
          <color rgb="FF000000"/>
        </right>
        <top style="thick">
          <color rgb="FF000000"/>
        </top>
        <bottom style="thick">
          <color rgb="FF000000"/>
        </bottom>
      </border>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dxf>
    <dxf>
      <border>
        <bottom style="thick">
          <color rgb="FF000000"/>
        </bottom>
      </border>
    </dxf>
    <dxf>
      <font>
        <b/>
        <i/>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border diagonalUp="0" diagonalDown="0">
        <left style="thick">
          <color rgb="FF000000"/>
        </left>
        <right style="thick">
          <color rgb="FF000000"/>
        </right>
        <top/>
        <bottom/>
        <vertical style="thick">
          <color rgb="FF000000"/>
        </vertical>
        <horizontal style="thick">
          <color rgb="FF000000"/>
        </horizontal>
      </border>
    </dxf>
    <dxf>
      <font>
        <b/>
        <i val="0"/>
        <strike val="0"/>
        <condense val="0"/>
        <extend val="0"/>
        <outline val="0"/>
        <shadow val="0"/>
        <u val="none"/>
        <vertAlign val="baseline"/>
        <sz val="11"/>
        <color indexed="18"/>
        <name val="Calibri"/>
        <family val="2"/>
        <scheme val="minor"/>
      </font>
      <numFmt numFmtId="4" formatCode="#,##0.00"/>
      <fill>
        <patternFill patternType="solid">
          <fgColor indexed="24"/>
          <bgColor indexed="2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indexed="18"/>
        <name val="Calibri"/>
        <family val="2"/>
        <scheme val="minor"/>
      </font>
      <fill>
        <patternFill patternType="solid">
          <fgColor indexed="24"/>
          <bgColor indexed="2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indexed="18"/>
        <name val="Calibri"/>
        <family val="2"/>
        <scheme val="minor"/>
      </font>
      <fill>
        <patternFill patternType="solid">
          <fgColor indexed="24"/>
          <bgColor indexed="2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family val="2"/>
      </font>
      <alignment horizontal="center" vertical="center" textRotation="0" wrapText="0" indent="0" justifyLastLine="0" shrinkToFit="0" readingOrder="0"/>
    </dxf>
    <dxf>
      <border>
        <bottom style="thin">
          <color indexed="64"/>
        </bottom>
      </border>
    </dxf>
    <dxf>
      <font>
        <b/>
        <i/>
        <strike val="0"/>
        <condense val="0"/>
        <extend val="0"/>
        <outline val="0"/>
        <shadow val="0"/>
        <u val="none"/>
        <vertAlign val="baseline"/>
        <sz val="10"/>
        <color indexed="9"/>
        <name val="Calibri"/>
        <family val="2"/>
        <scheme val="minor"/>
      </font>
      <fill>
        <patternFill patternType="solid">
          <fgColor indexed="24"/>
          <bgColor indexed="18"/>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i/>
        <color rgb="FFFF0000"/>
      </font>
      <fill>
        <patternFill>
          <bgColor rgb="FFFFC000"/>
        </patternFill>
      </fill>
      <border>
        <left style="thin">
          <color rgb="FF002060"/>
        </left>
        <right style="thin">
          <color rgb="FF002060"/>
        </right>
        <top style="thin">
          <color rgb="FF002060"/>
        </top>
        <bottom style="thin">
          <color rgb="FF002060"/>
        </bottom>
        <vertical/>
        <horizontal/>
      </border>
    </dxf>
    <dxf>
      <font>
        <b/>
      </font>
      <numFmt numFmtId="176" formatCode="[$₹-447]#,##0"/>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ont>
      <numFmt numFmtId="176" formatCode="[$₹-447]#,##0"/>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ont>
      <numFmt numFmtId="13" formatCode="0%"/>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ont>
      <numFmt numFmtId="175" formatCode="[$₹-447]#,##0.00"/>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ont>
      <numFmt numFmtId="177" formatCode="[Color3]0\ &quot;Pcs.&quot;"/>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ont>
      <numFmt numFmtId="175" formatCode="[$₹-447]#,##0.00"/>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ont>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ont>
      <alignment horizontal="center" vertical="center" textRotation="0" wrapText="1" indent="0" justifyLastLine="0" shrinkToFit="0" readingOrder="0"/>
      <border diagonalUp="0" diagonalDown="0">
        <left style="medium">
          <color rgb="FF000000"/>
        </left>
        <right style="medium">
          <color rgb="FF000000"/>
        </right>
        <top style="medium">
          <color rgb="FF000000"/>
        </top>
        <bottom style="medium">
          <color rgb="FF000000"/>
        </bottom>
        <vertical style="medium">
          <color rgb="FF000000"/>
        </vertical>
        <horizontal style="medium">
          <color rgb="FF000000"/>
        </horizontal>
      </border>
    </dxf>
    <dxf>
      <font>
        <b/>
        <family val="2"/>
      </font>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12"/>
        <color theme="1"/>
        <name val="Calibri"/>
        <family val="2"/>
        <scheme val="minor"/>
      </font>
      <fill>
        <patternFill patternType="solid">
          <fgColor indexed="64"/>
          <bgColor rgb="FFF7CAAC"/>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i/>
        <color theme="1"/>
      </font>
      <border>
        <left style="thin">
          <color auto="1"/>
        </left>
        <right style="thin">
          <color auto="1"/>
        </right>
        <top style="thin">
          <color auto="1"/>
        </top>
        <bottom style="thin">
          <color auto="1"/>
        </bottom>
        <vertical/>
        <horizontal/>
      </border>
    </dxf>
    <dxf>
      <font>
        <b/>
      </font>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numFmt numFmtId="167" formatCode=";;;"/>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font>
      <alignment horizontal="center" vertical="bottom" textRotation="0" wrapText="0" indent="0" justifyLastLine="0" shrinkToFit="0" readingOrder="0"/>
    </dxf>
    <dxf>
      <border>
        <bottom style="thin">
          <color indexed="64"/>
        </bottom>
      </border>
    </dxf>
    <dxf>
      <font>
        <b/>
      </font>
      <alignment horizontal="center" vertical="bottom" textRotation="0" wrapText="0" indent="0" justifyLastLine="0" shrinkToFit="0" readingOrder="0"/>
      <border diagonalUp="0" diagonalDown="0" outline="0">
        <left style="thin">
          <color indexed="64"/>
        </left>
        <right style="thin">
          <color indexed="64"/>
        </right>
        <top/>
        <bottom/>
      </border>
    </dxf>
    <dxf>
      <font>
        <b/>
        <i/>
        <color theme="0"/>
      </font>
      <fill>
        <patternFill>
          <bgColor rgb="FFFF0000"/>
        </patternFill>
      </fill>
      <border>
        <left style="thin">
          <color auto="1"/>
        </left>
        <right style="thin">
          <color auto="1"/>
        </right>
        <top style="thin">
          <color auto="1"/>
        </top>
        <bottom style="thin">
          <color auto="1"/>
        </bottom>
        <vertical/>
        <horizontal/>
      </border>
    </dxf>
    <dxf>
      <font>
        <b/>
        <i/>
        <color theme="0"/>
      </font>
      <fill>
        <patternFill>
          <bgColor rgb="FF92D050"/>
        </patternFill>
      </fill>
      <border>
        <left style="thin">
          <color auto="1"/>
        </left>
        <right style="thin">
          <color auto="1"/>
        </right>
        <top style="thin">
          <color auto="1"/>
        </top>
        <bottom style="thin">
          <color auto="1"/>
        </bottom>
        <vertical/>
        <horizontal/>
      </border>
    </dxf>
    <dxf>
      <font>
        <b/>
        <i/>
        <color theme="0"/>
      </font>
      <fill>
        <patternFill>
          <bgColor rgb="FF0070C0"/>
        </patternFill>
      </fill>
      <border>
        <left style="thin">
          <color auto="1"/>
        </left>
        <right style="thin">
          <color auto="1"/>
        </right>
        <top style="thin">
          <color auto="1"/>
        </top>
        <bottom style="thin">
          <color auto="1"/>
        </bottom>
        <vertical/>
        <horizontal/>
      </border>
    </dxf>
    <dxf>
      <font>
        <b/>
        <i/>
        <color theme="0"/>
      </font>
      <fill>
        <patternFill>
          <bgColor theme="6"/>
        </patternFill>
      </fill>
      <border>
        <left style="thin">
          <color auto="1"/>
        </left>
        <right style="thin">
          <color auto="1"/>
        </right>
        <top style="thin">
          <color auto="1"/>
        </top>
        <bottom style="thin">
          <color auto="1"/>
        </bottom>
        <vertical/>
        <horizontal/>
      </border>
    </dxf>
    <dxf>
      <font>
        <b/>
        <i/>
        <color theme="0"/>
      </font>
      <fill>
        <patternFill>
          <bgColor rgb="FFC00000"/>
        </patternFill>
      </fill>
    </dxf>
    <dxf>
      <font>
        <b/>
        <i/>
        <color theme="0"/>
      </font>
      <fill>
        <patternFill>
          <bgColor rgb="FFFFC000"/>
        </patternFill>
      </fill>
    </dxf>
    <dxf>
      <font>
        <b/>
        <i/>
        <color theme="0"/>
      </font>
      <fill>
        <patternFill>
          <bgColor rgb="FFFF0000"/>
        </patternFill>
      </fill>
    </dxf>
    <dxf>
      <font>
        <b/>
        <i/>
        <color theme="0"/>
      </font>
      <fill>
        <patternFill>
          <bgColor rgb="FF92D050"/>
        </patternFill>
      </fill>
    </dxf>
    <dxf>
      <font>
        <b/>
        <i/>
        <color theme="0"/>
      </font>
      <fill>
        <patternFill>
          <bgColor rgb="FF00B0F0"/>
        </patternFill>
      </fill>
    </dxf>
    <dxf>
      <font>
        <b/>
        <i/>
        <color theme="1"/>
      </font>
      <fill>
        <patternFill>
          <bgColor rgb="FFFFFF00"/>
        </patternFill>
      </fill>
    </dxf>
    <dxf>
      <font>
        <b/>
        <i/>
        <color theme="0"/>
      </font>
      <fill>
        <patternFill>
          <bgColor rgb="FF7030A0"/>
        </patternFill>
      </fill>
    </dxf>
    <dxf>
      <font>
        <b/>
        <i val="0"/>
      </font>
      <border>
        <left style="thin">
          <color theme="4"/>
        </left>
        <right style="thin">
          <color theme="4"/>
        </right>
        <top style="thin">
          <color theme="4"/>
        </top>
        <bottom style="thin">
          <color theme="4"/>
        </bottom>
        <vertical/>
        <horizontal/>
      </border>
    </dxf>
    <dxf>
      <numFmt numFmtId="183" formatCode="[Red]0\ &quot;Year&quot;"/>
    </dxf>
    <dxf>
      <font>
        <b/>
        <i val="0"/>
        <strike val="0"/>
        <condense val="0"/>
        <extend val="0"/>
        <outline val="0"/>
        <shadow val="0"/>
        <u val="none"/>
        <vertAlign val="baseline"/>
        <sz val="11"/>
        <color theme="1"/>
        <name val="Calibri"/>
        <family val="2"/>
        <scheme val="minor"/>
      </font>
      <numFmt numFmtId="169" formatCode="dd/mm/yyyy"/>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9" formatCode="dd/mm/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8" formatCode="[Color3]0\ &quot;DAYS&quo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7030A0"/>
      </font>
      <fill>
        <patternFill>
          <bgColor rgb="FF7030A0"/>
        </patternFill>
      </fill>
      <border>
        <left style="thin">
          <color rgb="FF7030A0"/>
        </left>
        <right style="thin">
          <color rgb="FF7030A0"/>
        </right>
        <top style="thin">
          <color rgb="FF7030A0"/>
        </top>
        <bottom style="thin">
          <color rgb="FF7030A0"/>
        </bottom>
      </border>
    </dxf>
    <dxf>
      <font>
        <b/>
        <family val="2"/>
      </font>
      <alignment horizontal="center" vertical="bottom" textRotation="0" wrapText="1" indent="0" justifyLastLine="0" shrinkToFit="0" readingOrder="0"/>
    </dxf>
    <dxf>
      <font>
        <b/>
      </font>
      <numFmt numFmtId="19" formatCode="m/d/yyyy"/>
      <alignment horizontal="center" vertical="bottom" textRotation="0" wrapText="1" indent="0" justifyLastLine="0" shrinkToFit="0" readingOrder="0"/>
      <border diagonalUp="0" diagonalDown="0" outline="0">
        <left/>
        <right/>
        <top/>
        <bottom style="medium">
          <color rgb="FF000000"/>
        </bottom>
      </border>
    </dxf>
    <dxf>
      <font>
        <b/>
      </font>
      <numFmt numFmtId="19" formatCode="m/d/yyyy"/>
      <alignment horizontal="center" vertical="bottom" textRotation="0" wrapText="1" indent="0" justifyLastLine="0" shrinkToFit="0" readingOrder="0"/>
      <border diagonalUp="0" diagonalDown="0" outline="0">
        <left/>
        <right style="medium">
          <color rgb="FF000000"/>
        </right>
        <top/>
        <bottom style="medium">
          <color rgb="FF000000"/>
        </bottom>
      </border>
    </dxf>
    <dxf>
      <font>
        <b/>
      </font>
      <numFmt numFmtId="168" formatCode="[Color3]0\ &quot;DAYS&quot;"/>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font>
      <alignment horizontal="center" vertical="bottom" textRotation="0" wrapText="1" indent="0" justifyLastLine="0" shrinkToFit="0" readingOrder="0"/>
      <border diagonalUp="0" diagonalDown="0" outline="0">
        <left/>
        <right style="medium">
          <color rgb="FF000000"/>
        </right>
        <top/>
        <bottom style="medium">
          <color rgb="FF000000"/>
        </bottom>
      </border>
    </dxf>
    <dxf>
      <font>
        <b/>
      </font>
      <alignment horizontal="center" vertical="bottom" textRotation="0" wrapText="1" indent="0" justifyLastLine="0" shrinkToFit="0" readingOrder="0"/>
      <border diagonalUp="0" diagonalDown="0" outline="0">
        <left/>
        <right style="medium">
          <color rgb="FF000000"/>
        </right>
        <top/>
        <bottom style="medium">
          <color rgb="FF000000"/>
        </bottom>
      </border>
    </dxf>
    <dxf>
      <border outline="0">
        <left style="medium">
          <color rgb="FF000000"/>
        </left>
        <right style="medium">
          <color rgb="FF000000"/>
        </right>
        <top style="medium">
          <color rgb="FF000000"/>
        </top>
        <bottom style="medium">
          <color rgb="FF000000"/>
        </bottom>
      </border>
    </dxf>
    <dxf>
      <font>
        <b/>
        <family val="2"/>
      </font>
      <alignment horizontal="center" vertical="bottom" textRotation="0" wrapText="1" indent="0" justifyLastLine="0" shrinkToFit="0" readingOrder="0"/>
    </dxf>
    <dxf>
      <border outline="0">
        <bottom style="medium">
          <color rgb="FF000000"/>
        </bottom>
      </border>
    </dxf>
    <dxf>
      <font>
        <b/>
        <i val="0"/>
        <strike val="0"/>
        <condense val="0"/>
        <extend val="0"/>
        <outline val="0"/>
        <shadow val="0"/>
        <u val="none"/>
        <vertAlign val="baseline"/>
        <sz val="11"/>
        <color rgb="FFFFFFFF"/>
        <name val="Calibri"/>
        <family val="2"/>
        <scheme val="minor"/>
      </font>
      <fill>
        <patternFill patternType="solid">
          <fgColor indexed="64"/>
          <bgColor rgb="FF00B050"/>
        </patternFill>
      </fill>
      <alignment horizontal="center" vertical="bottom" textRotation="0" wrapText="1" indent="0" justifyLastLine="0" shrinkToFit="0" readingOrder="0"/>
      <border diagonalUp="0" diagonalDown="0" outline="0">
        <left style="medium">
          <color rgb="FF000000"/>
        </left>
        <right style="medium">
          <color rgb="FF000000"/>
        </right>
        <top/>
        <bottom/>
      </border>
    </dxf>
    <dxf>
      <numFmt numFmtId="184" formatCode="[Color5]0\ &quot;Day&quot;"/>
    </dxf>
    <dxf>
      <font>
        <b/>
        <i val="0"/>
        <strike val="0"/>
        <condense val="0"/>
        <extend val="0"/>
        <outline val="0"/>
        <shadow val="0"/>
        <u val="none"/>
        <vertAlign val="baseline"/>
        <sz val="11"/>
        <color indexed="8"/>
        <name val="Calibri"/>
        <family val="2"/>
        <scheme val="minor"/>
      </font>
      <numFmt numFmtId="0" formatCode="General"/>
      <fill>
        <patternFill patternType="darkGray">
          <fgColor indexed="9"/>
          <bgColor indexed="13"/>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condense val="0"/>
        <extend val="0"/>
        <outline val="0"/>
        <shadow val="0"/>
        <u val="none"/>
        <vertAlign val="baseline"/>
        <sz val="11"/>
        <color indexed="8"/>
        <name val="Calibri"/>
        <family val="2"/>
        <scheme val="minor"/>
      </font>
      <numFmt numFmtId="6" formatCode="#,##0_);[Red]\(#,##0\)"/>
      <fill>
        <patternFill patternType="darkGray">
          <fgColor indexed="9"/>
          <bgColor indexed="13"/>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condense val="0"/>
        <extend val="0"/>
        <outline val="0"/>
        <shadow val="0"/>
        <u val="none"/>
        <vertAlign val="baseline"/>
        <sz val="11"/>
        <color indexed="8"/>
        <name val="Calibri"/>
        <family val="2"/>
        <scheme val="minor"/>
      </font>
      <numFmt numFmtId="20" formatCode="d\-mmm\-yy"/>
      <fill>
        <patternFill patternType="darkGray">
          <fgColor indexed="9"/>
          <bgColor indexed="13"/>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condense val="0"/>
        <extend val="0"/>
        <outline val="0"/>
        <shadow val="0"/>
        <u val="none"/>
        <vertAlign val="baseline"/>
        <sz val="11"/>
        <color indexed="8"/>
        <name val="Calibri"/>
        <family val="2"/>
        <scheme val="minor"/>
      </font>
      <numFmt numFmtId="166" formatCode="[Red]0\ &quot;Months&quot;"/>
      <fill>
        <patternFill patternType="darkGray">
          <fgColor indexed="9"/>
          <bgColor indexed="13"/>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condense val="0"/>
        <extend val="0"/>
        <outline val="0"/>
        <shadow val="0"/>
        <u val="none"/>
        <vertAlign val="baseline"/>
        <sz val="11"/>
        <color indexed="8"/>
        <name val="Calibri"/>
        <family val="2"/>
        <scheme val="minor"/>
      </font>
      <numFmt numFmtId="20" formatCode="d\-mmm\-yy"/>
      <fill>
        <patternFill patternType="darkGray">
          <fgColor indexed="9"/>
          <bgColor indexed="13"/>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condense val="0"/>
        <extend val="0"/>
        <outline val="0"/>
        <shadow val="0"/>
        <u val="none"/>
        <vertAlign val="baseline"/>
        <sz val="11"/>
        <color indexed="8"/>
        <name val="Calibri"/>
        <family val="2"/>
        <scheme val="minor"/>
      </font>
      <fill>
        <patternFill patternType="darkGray">
          <fgColor indexed="9"/>
          <bgColor indexed="13"/>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condense val="0"/>
        <extend val="0"/>
        <outline val="0"/>
        <shadow val="0"/>
        <u val="none"/>
        <vertAlign val="baseline"/>
        <sz val="11"/>
        <color indexed="8"/>
        <name val="Calibri"/>
        <family val="2"/>
        <scheme val="minor"/>
      </font>
      <fill>
        <patternFill patternType="darkGray">
          <fgColor indexed="9"/>
          <bgColor indexed="13"/>
        </patternFill>
      </fill>
      <alignment horizontal="center"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outline="0">
        <top style="thin">
          <color theme="5" tint="-0.24994659260841701"/>
        </top>
      </border>
    </dxf>
    <dxf>
      <border outline="0">
        <left style="thin">
          <color theme="5" tint="-0.24994659260841701"/>
        </left>
        <right style="thin">
          <color theme="5" tint="-0.24994659260841701"/>
        </right>
        <top style="thin">
          <color theme="5" tint="-0.24994659260841701"/>
        </top>
        <bottom style="thin">
          <color theme="5" tint="-0.24994659260841701"/>
        </bottom>
      </border>
    </dxf>
    <dxf>
      <alignment horizontal="center" vertical="center" textRotation="0" wrapText="1" indent="0" justifyLastLine="0" shrinkToFit="0" readingOrder="0"/>
    </dxf>
    <dxf>
      <border outline="0">
        <bottom style="thin">
          <color theme="5" tint="-0.24994659260841701"/>
        </bottom>
      </border>
    </dxf>
    <dxf>
      <font>
        <b/>
        <i/>
        <strike val="0"/>
        <condense val="0"/>
        <extend val="0"/>
        <outline val="0"/>
        <shadow val="0"/>
        <u val="none"/>
        <vertAlign val="baseline"/>
        <sz val="11"/>
        <color indexed="9"/>
        <name val="Calibri"/>
        <family val="2"/>
        <scheme val="minor"/>
      </font>
      <fill>
        <patternFill patternType="solid">
          <fgColor indexed="24"/>
          <bgColor indexed="16"/>
        </patternFill>
      </fill>
      <alignment horizontal="center" vertical="center" textRotation="0" wrapText="1" indent="0" justifyLastLine="0" shrinkToFit="0" readingOrder="0"/>
      <border diagonalUp="0" diagonalDown="0" outline="0">
        <left style="thin">
          <color theme="5" tint="-0.24994659260841701"/>
        </left>
        <right style="thin">
          <color theme="5" tint="-0.24994659260841701"/>
        </right>
        <top/>
        <bottom/>
      </border>
    </dxf>
    <dxf>
      <font>
        <b/>
        <i val="0"/>
        <color theme="0"/>
      </font>
      <fill>
        <patternFill>
          <bgColor rgb="FFFF0000"/>
        </patternFill>
      </fill>
    </dxf>
    <dxf>
      <font>
        <b/>
        <i val="0"/>
        <color theme="0"/>
      </font>
      <fill>
        <patternFill>
          <bgColor theme="7" tint="0.39994506668294322"/>
        </patternFill>
      </fill>
    </dxf>
    <dxf>
      <font>
        <b/>
        <i val="0"/>
      </font>
      <numFmt numFmtId="185" formatCode="[Blue]0\ &quot;Month&quot;"/>
    </dxf>
    <dxf>
      <font>
        <b/>
      </font>
      <alignment horizontal="center" vertical="bottom" textRotation="0" wrapText="0" indent="0" justifyLastLine="0" shrinkToFit="0" readingOrder="0"/>
      <border diagonalUp="0" diagonalDown="0">
        <left style="medium">
          <color theme="7"/>
        </left>
        <right/>
        <top style="medium">
          <color theme="7"/>
        </top>
        <bottom style="medium">
          <color theme="7"/>
        </bottom>
        <vertical style="medium">
          <color theme="7"/>
        </vertical>
        <horizontal style="medium">
          <color theme="7"/>
        </horizontal>
      </border>
    </dxf>
    <dxf>
      <font>
        <b/>
      </font>
      <alignment horizontal="center" vertical="bottom" textRotation="0" wrapText="0" indent="0" justifyLastLine="0" shrinkToFit="0" readingOrder="0"/>
      <border diagonalUp="0" diagonalDown="0">
        <left style="medium">
          <color theme="7"/>
        </left>
        <right style="medium">
          <color theme="7"/>
        </right>
        <top style="medium">
          <color theme="7"/>
        </top>
        <bottom style="medium">
          <color theme="7"/>
        </bottom>
        <vertical style="medium">
          <color theme="7"/>
        </vertical>
        <horizontal style="medium">
          <color theme="7"/>
        </horizontal>
      </border>
    </dxf>
    <dxf>
      <font>
        <b/>
      </font>
      <numFmt numFmtId="167" formatCode=";;;"/>
      <alignment horizontal="center" vertical="bottom" textRotation="0" wrapText="0" indent="0" justifyLastLine="0" shrinkToFit="0" readingOrder="0"/>
      <border diagonalUp="0" diagonalDown="0">
        <left/>
        <right style="medium">
          <color theme="7"/>
        </right>
        <top style="medium">
          <color theme="7"/>
        </top>
        <bottom style="medium">
          <color theme="7"/>
        </bottom>
        <vertical style="medium">
          <color theme="7"/>
        </vertical>
        <horizontal style="medium">
          <color theme="7"/>
        </horizontal>
      </border>
    </dxf>
    <dxf>
      <border>
        <top style="medium">
          <color theme="7"/>
        </top>
      </border>
    </dxf>
    <dxf>
      <border diagonalUp="0" diagonalDown="0">
        <left style="medium">
          <color theme="7"/>
        </left>
        <right style="medium">
          <color theme="7"/>
        </right>
        <top style="medium">
          <color theme="7"/>
        </top>
        <bottom style="medium">
          <color theme="7"/>
        </bottom>
      </border>
    </dxf>
    <dxf>
      <font>
        <b/>
      </font>
      <alignment horizontal="center" vertical="bottom" textRotation="0" wrapText="0" indent="0" justifyLastLine="0" shrinkToFit="0" readingOrder="0"/>
    </dxf>
    <dxf>
      <border>
        <bottom style="medium">
          <color theme="7"/>
        </bottom>
      </border>
    </dxf>
    <dxf>
      <font>
        <b/>
      </font>
      <alignment horizontal="center" vertical="bottom" textRotation="0" wrapText="0" indent="0" justifyLastLine="0" shrinkToFit="0" readingOrder="0"/>
      <border diagonalUp="0" diagonalDown="0">
        <left style="medium">
          <color theme="7"/>
        </left>
        <right style="medium">
          <color theme="7"/>
        </right>
        <top/>
        <bottom/>
        <vertical style="medium">
          <color theme="7"/>
        </vertical>
        <horizontal style="medium">
          <color theme="7"/>
        </horizontal>
      </border>
    </dxf>
    <dxf>
      <font>
        <b/>
        <i val="0"/>
        <strike val="0"/>
        <condense val="0"/>
        <extend val="0"/>
        <outline val="0"/>
        <shadow val="0"/>
        <u val="none"/>
        <vertAlign val="baseline"/>
        <sz val="11"/>
        <color theme="1"/>
        <name val="Calibri"/>
        <family val="2"/>
        <scheme val="minor"/>
      </font>
      <numFmt numFmtId="165" formatCode="[$₹-445]\ #,##0;[Red][$₹-445]\ #,##0"/>
      <alignment horizontal="center" vertical="center" textRotation="0" wrapText="0" indent="0" justifyLastLine="0" shrinkToFit="0" readingOrder="0"/>
      <border diagonalUp="0" diagonalDown="0" outline="0">
        <left style="medium">
          <color auto="1"/>
        </left>
        <right/>
        <top style="medium">
          <color auto="1"/>
        </top>
        <bottom/>
      </border>
    </dxf>
    <dxf>
      <font>
        <b/>
      </font>
      <numFmt numFmtId="165" formatCode="[$₹-445]\ #,##0;[Red][$₹-445]\ #,##0"/>
      <alignment horizontal="center" vertical="center" textRotation="0" wrapText="0" indent="0" justifyLastLine="0" shrinkToFit="0" readingOrder="0"/>
      <border diagonalUp="0" diagonalDown="0">
        <left style="medium">
          <color auto="1"/>
        </left>
        <right/>
        <top style="medium">
          <color auto="1"/>
        </top>
        <bottom style="medium">
          <color auto="1"/>
        </bottom>
        <vertical/>
        <horizontal/>
      </border>
    </dxf>
    <dxf>
      <font>
        <b/>
        <i val="0"/>
        <strike val="0"/>
        <condense val="0"/>
        <extend val="0"/>
        <outline val="0"/>
        <shadow val="0"/>
        <u val="none"/>
        <vertAlign val="baseline"/>
        <sz val="11"/>
        <color theme="1"/>
        <name val="Calibri"/>
        <family val="2"/>
        <scheme val="minor"/>
      </font>
      <numFmt numFmtId="165" formatCode="[$₹-445]\ #,##0;[Red][$₹-445]\ #,##0"/>
      <alignment horizontal="center" vertical="center" textRotation="0" wrapText="0" indent="0" justifyLastLine="0" shrinkToFit="0" readingOrder="0"/>
      <border diagonalUp="0" diagonalDown="0" outline="0">
        <left style="medium">
          <color auto="1"/>
        </left>
        <right style="medium">
          <color auto="1"/>
        </right>
        <top style="medium">
          <color auto="1"/>
        </top>
        <bottom/>
      </border>
    </dxf>
    <dxf>
      <font>
        <b/>
      </font>
      <numFmt numFmtId="165" formatCode="[$₹-445]\ #,##0;[Red][$₹-445]\ #,##0"/>
      <alignment horizontal="center" vertical="center" textRotation="0" wrapText="0" indent="0" justifyLastLine="0" shrinkToFit="0" readingOrder="0"/>
      <border diagonalUp="0" diagonalDown="0">
        <left style="medium">
          <color auto="1"/>
        </left>
        <right style="medium">
          <color auto="1"/>
        </right>
        <top style="medium">
          <color auto="1"/>
        </top>
        <bottom style="medium">
          <color auto="1"/>
        </bottom>
        <vertical/>
        <horizontal/>
      </border>
    </dxf>
    <dxf>
      <font>
        <b/>
        <i val="0"/>
        <strike val="0"/>
        <condense val="0"/>
        <extend val="0"/>
        <outline val="0"/>
        <shadow val="0"/>
        <u val="none"/>
        <vertAlign val="baseline"/>
        <sz val="11"/>
        <color theme="1"/>
        <name val="Calibri"/>
        <family val="2"/>
        <scheme val="minor"/>
      </font>
      <numFmt numFmtId="165" formatCode="[$₹-445]\ #,##0;[Red][$₹-445]\ #,##0"/>
      <alignment horizontal="center" vertical="center" textRotation="0" wrapText="0" indent="0" justifyLastLine="0" shrinkToFit="0" readingOrder="0"/>
      <border diagonalUp="0" diagonalDown="0" outline="0">
        <left style="medium">
          <color auto="1"/>
        </left>
        <right style="medium">
          <color auto="1"/>
        </right>
        <top style="medium">
          <color auto="1"/>
        </top>
        <bottom/>
      </border>
    </dxf>
    <dxf>
      <font>
        <b/>
      </font>
      <numFmt numFmtId="165" formatCode="[$₹-445]\ #,##0;[Red][$₹-445]\ #,##0"/>
      <alignment horizontal="center" vertical="center" textRotation="0" wrapText="0" indent="0" justifyLastLine="0" shrinkToFit="0" readingOrder="0"/>
      <border diagonalUp="0" diagonalDown="0">
        <left style="medium">
          <color auto="1"/>
        </left>
        <right style="medium">
          <color auto="1"/>
        </right>
        <top style="medium">
          <color auto="1"/>
        </top>
        <bottom style="medium">
          <color auto="1"/>
        </bottom>
        <vertical/>
        <horizontal/>
      </border>
    </dxf>
    <dxf>
      <font>
        <b/>
        <i val="0"/>
        <strike val="0"/>
        <condense val="0"/>
        <extend val="0"/>
        <outline val="0"/>
        <shadow val="0"/>
        <u val="none"/>
        <vertAlign val="baseline"/>
        <sz val="11"/>
        <color theme="1"/>
        <name val="Calibri"/>
        <family val="2"/>
        <scheme val="minor"/>
      </font>
      <numFmt numFmtId="165" formatCode="[$₹-445]\ #,##0;[Red][$₹-445]\ #,##0"/>
      <alignment horizontal="center" vertical="center" textRotation="0" wrapText="0" indent="0" justifyLastLine="0" shrinkToFit="0" readingOrder="0"/>
      <border diagonalUp="0" diagonalDown="0" outline="0">
        <left style="medium">
          <color auto="1"/>
        </left>
        <right style="medium">
          <color auto="1"/>
        </right>
        <top style="medium">
          <color auto="1"/>
        </top>
        <bottom/>
      </border>
    </dxf>
    <dxf>
      <font>
        <b/>
        <i val="0"/>
        <strike val="0"/>
        <condense val="0"/>
        <extend val="0"/>
        <outline val="0"/>
        <shadow val="0"/>
        <u val="none"/>
        <vertAlign val="baseline"/>
        <sz val="11"/>
        <color theme="1"/>
        <name val="Calibri"/>
        <family val="2"/>
        <scheme val="minor"/>
      </font>
      <numFmt numFmtId="165" formatCode="[$₹-445]\ #,##0;[Red][$₹-445]\ #,##0"/>
      <alignment horizontal="center" vertical="center" textRotation="0" wrapText="0" indent="0" justifyLastLine="0" shrinkToFit="0" readingOrder="0"/>
      <border diagonalUp="0" diagonalDown="0">
        <left style="medium">
          <color auto="1"/>
        </left>
        <right style="medium">
          <color auto="1"/>
        </right>
        <top style="medium">
          <color auto="1"/>
        </top>
        <bottom style="medium">
          <color auto="1"/>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medium">
          <color auto="1"/>
        </left>
        <right style="medium">
          <color auto="1"/>
        </right>
        <top style="medium">
          <color auto="1"/>
        </top>
        <bottom/>
      </border>
    </dxf>
    <dxf>
      <font>
        <b/>
      </font>
      <numFmt numFmtId="0" formatCode="General"/>
      <alignment horizontal="center" vertical="center" textRotation="0" wrapText="0" indent="0" justifyLastLine="0" shrinkToFit="0" readingOrder="0"/>
      <border diagonalUp="0" diagonalDown="0">
        <left style="medium">
          <color auto="1"/>
        </left>
        <right style="medium">
          <color auto="1"/>
        </right>
        <top style="medium">
          <color auto="1"/>
        </top>
        <bottom style="medium">
          <color auto="1"/>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right style="medium">
          <color auto="1"/>
        </right>
        <top style="medium">
          <color auto="1"/>
        </top>
        <bottom/>
      </border>
    </dxf>
    <dxf>
      <font>
        <b/>
      </font>
      <numFmt numFmtId="0" formatCode="General"/>
      <alignment horizontal="center" vertical="center" textRotation="0" wrapText="0" indent="0" justifyLastLine="0" shrinkToFit="0" readingOrder="0"/>
      <border diagonalUp="0" diagonalDown="0">
        <left/>
        <right style="medium">
          <color auto="1"/>
        </right>
        <top style="medium">
          <color auto="1"/>
        </top>
        <bottom style="medium">
          <color auto="1"/>
        </bottom>
        <vertical/>
        <horizontal/>
      </border>
    </dxf>
    <dxf>
      <border>
        <top style="medium">
          <color auto="1"/>
        </top>
      </border>
    </dxf>
    <dxf>
      <border diagonalUp="0" diagonalDown="0">
        <left style="medium">
          <color auto="1"/>
        </left>
        <right style="medium">
          <color auto="1"/>
        </right>
        <top style="medium">
          <color auto="1"/>
        </top>
        <bottom style="medium">
          <color auto="1"/>
        </bottom>
      </border>
    </dxf>
    <dxf>
      <font>
        <b/>
      </font>
      <alignment horizontal="center" vertical="center" textRotation="0" wrapText="0" indent="0" justifyLastLine="0" shrinkToFit="0" readingOrder="0"/>
    </dxf>
    <dxf>
      <border>
        <bottom style="medium">
          <color auto="1"/>
        </bottom>
      </border>
    </dxf>
    <dxf>
      <font>
        <b/>
      </font>
      <alignment horizontal="center" vertical="center" textRotation="0" wrapText="0" indent="0" justifyLastLine="0" shrinkToFit="0" readingOrder="0"/>
      <border diagonalUp="0" diagonalDown="0">
        <left style="medium">
          <color auto="1"/>
        </left>
        <right style="medium">
          <color auto="1"/>
        </right>
        <top/>
        <bottom/>
        <vertical style="medium">
          <color auto="1"/>
        </vertical>
        <horizontal style="medium">
          <color auto="1"/>
        </horizontal>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medium">
          <color indexed="23"/>
        </left>
        <right/>
        <top style="medium">
          <color indexed="23"/>
        </top>
        <bottom style="medium">
          <color indexed="23"/>
        </bottom>
      </border>
    </dxf>
    <dxf>
      <font>
        <b/>
        <i val="0"/>
        <strike val="0"/>
        <condense val="0"/>
        <extend val="0"/>
        <outline val="0"/>
        <shadow val="0"/>
        <u val="none"/>
        <vertAlign val="baseline"/>
        <sz val="11"/>
        <color indexed="8"/>
        <name val="Calibri"/>
        <family val="2"/>
        <scheme val="minor"/>
      </font>
      <numFmt numFmtId="164" formatCode="[$₹-4009]\ #,##0.00;[Red][$₹-4009]\ #,##0.00"/>
      <fill>
        <patternFill patternType="solid">
          <fgColor indexed="24"/>
          <bgColor indexed="42"/>
        </patternFill>
      </fill>
      <alignment horizontal="center" vertical="center" textRotation="0" wrapText="1" indent="0" justifyLastLine="0" shrinkToFit="0" readingOrder="0"/>
      <border diagonalUp="0" diagonalDown="0">
        <left style="medium">
          <color indexed="23"/>
        </left>
        <right style="medium">
          <color indexed="23"/>
        </right>
        <top style="medium">
          <color indexed="23"/>
        </top>
        <bottom style="medium">
          <color indexed="23"/>
        </bottom>
      </border>
    </dxf>
    <dxf>
      <font>
        <b/>
        <i val="0"/>
        <strike val="0"/>
        <condense val="0"/>
        <extend val="0"/>
        <outline val="0"/>
        <shadow val="0"/>
        <u val="none"/>
        <vertAlign val="baseline"/>
        <sz val="11"/>
        <color theme="1"/>
        <name val="Calibri"/>
        <family val="2"/>
        <scheme val="minor"/>
      </font>
      <numFmt numFmtId="19" formatCode="m/d/yyyy"/>
      <alignment horizontal="center" vertical="center" textRotation="0" wrapText="1" indent="0" justifyLastLine="0" shrinkToFit="0" readingOrder="0"/>
      <border diagonalUp="0" diagonalDown="0" outline="0">
        <left style="medium">
          <color indexed="23"/>
        </left>
        <right style="medium">
          <color indexed="23"/>
        </right>
        <top style="medium">
          <color indexed="23"/>
        </top>
        <bottom style="medium">
          <color indexed="23"/>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medium">
          <color indexed="23"/>
        </left>
        <right style="medium">
          <color indexed="23"/>
        </right>
        <top style="medium">
          <color indexed="23"/>
        </top>
        <bottom style="medium">
          <color indexed="23"/>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medium">
          <color indexed="23"/>
        </left>
        <right style="medium">
          <color indexed="23"/>
        </right>
        <top style="medium">
          <color indexed="23"/>
        </top>
        <bottom style="medium">
          <color indexed="23"/>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right style="medium">
          <color indexed="23"/>
        </right>
        <top style="medium">
          <color indexed="23"/>
        </top>
        <bottom style="medium">
          <color indexed="23"/>
        </bottom>
      </border>
    </dxf>
    <dxf>
      <border>
        <top style="medium">
          <color indexed="23"/>
        </top>
      </border>
    </dxf>
    <dxf>
      <border diagonalUp="0" diagonalDown="0">
        <left style="medium">
          <color indexed="23"/>
        </left>
        <right style="medium">
          <color indexed="23"/>
        </right>
        <top style="medium">
          <color indexed="23"/>
        </top>
        <bottom style="medium">
          <color indexed="23"/>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border>
        <bottom style="medium">
          <color indexed="23"/>
        </bottom>
      </border>
    </dxf>
    <dxf>
      <font>
        <b/>
        <i val="0"/>
        <strike val="0"/>
        <condense val="0"/>
        <extend val="0"/>
        <outline val="0"/>
        <shadow val="0"/>
        <u val="none"/>
        <vertAlign val="baseline"/>
        <sz val="11"/>
        <color rgb="FFFFFFFF"/>
        <name val="Calibri"/>
        <family val="2"/>
        <scheme val="minor"/>
      </font>
      <fill>
        <patternFill patternType="solid">
          <fgColor indexed="64"/>
          <bgColor rgb="FF7030A0"/>
        </patternFill>
      </fill>
      <alignment horizontal="center" vertical="center" textRotation="0" wrapText="1" indent="0" justifyLastLine="0" shrinkToFit="0" readingOrder="0"/>
      <border diagonalUp="0" diagonalDown="0" outline="0">
        <left style="medium">
          <color indexed="23"/>
        </left>
        <right style="medium">
          <color indexed="23"/>
        </right>
        <top/>
        <bottom/>
      </border>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Sheet4!$E$14</c:f>
          <c:strCache>
            <c:ptCount val="1"/>
            <c:pt idx="0">
              <c:v>STATEWISE SALES REPORT FOR 2022-23</c:v>
            </c:pt>
          </c:strCache>
        </c:strRef>
      </c:tx>
      <c:overlay val="0"/>
      <c:spPr>
        <a:solidFill>
          <a:srgbClr val="92D050"/>
        </a:solidFill>
        <a:ln>
          <a:noFill/>
        </a:ln>
        <a:effectLst/>
      </c:spPr>
      <c:txPr>
        <a:bodyPr rot="0" spcFirstLastPara="1" vertOverflow="ellipsis" vert="horz" wrap="square" anchor="ctr" anchorCtr="1"/>
        <a:lstStyle/>
        <a:p>
          <a:pPr>
            <a:defRPr sz="1400" b="1" i="1" u="sng" strike="noStrike" kern="1200" spc="0" baseline="0">
              <a:solidFill>
                <a:schemeClr val="bg1"/>
              </a:solidFill>
              <a:latin typeface="+mn-lt"/>
              <a:ea typeface="+mn-ea"/>
              <a:cs typeface="+mn-cs"/>
            </a:defRPr>
          </a:pPr>
          <a:endParaRPr lang="en-US"/>
        </a:p>
      </c:txPr>
    </c:title>
    <c:autoTitleDeleted val="0"/>
    <c:plotArea>
      <c:layout/>
      <c:lineChart>
        <c:grouping val="standard"/>
        <c:varyColors val="0"/>
        <c:ser>
          <c:idx val="0"/>
          <c:order val="0"/>
          <c:tx>
            <c:strRef>
              <c:f>Sheet4!$F$3</c:f>
              <c:strCache>
                <c:ptCount val="1"/>
                <c:pt idx="0">
                  <c:v>SALES</c:v>
                </c:pt>
              </c:strCache>
            </c:strRef>
          </c:tx>
          <c:spPr>
            <a:ln w="38100" cap="rnd">
              <a:solidFill>
                <a:srgbClr val="FF0000"/>
              </a:solidFill>
              <a:round/>
            </a:ln>
            <a:effectLst/>
          </c:spPr>
          <c:marker>
            <c:symbol val="circle"/>
            <c:size val="8"/>
            <c:spPr>
              <a:solidFill>
                <a:srgbClr val="7030A0">
                  <a:alpha val="94000"/>
                </a:srgbClr>
              </a:solidFill>
              <a:ln w="15875" cap="sq">
                <a:solidFill>
                  <a:srgbClr val="FF0000">
                    <a:alpha val="71000"/>
                  </a:srgb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Sheet4!$E$4:$E$12</c:f>
              <c:strCache>
                <c:ptCount val="9"/>
                <c:pt idx="0">
                  <c:v>HARYANA</c:v>
                </c:pt>
                <c:pt idx="1">
                  <c:v>UP</c:v>
                </c:pt>
                <c:pt idx="2">
                  <c:v>UTTARAKHAND</c:v>
                </c:pt>
                <c:pt idx="3">
                  <c:v>RAJASTHAN</c:v>
                </c:pt>
                <c:pt idx="4">
                  <c:v>WEST BENGAL</c:v>
                </c:pt>
                <c:pt idx="5">
                  <c:v>PUNJAB</c:v>
                </c:pt>
                <c:pt idx="6">
                  <c:v>BIHAR</c:v>
                </c:pt>
                <c:pt idx="7">
                  <c:v>JHARKHAND</c:v>
                </c:pt>
                <c:pt idx="8">
                  <c:v>KARNATAKA</c:v>
                </c:pt>
              </c:strCache>
            </c:strRef>
          </c:cat>
          <c:val>
            <c:numRef>
              <c:f>Sheet4!$F$4:$F$12</c:f>
              <c:numCache>
                <c:formatCode>General</c:formatCode>
                <c:ptCount val="9"/>
                <c:pt idx="0">
                  <c:v>12538</c:v>
                </c:pt>
                <c:pt idx="1">
                  <c:v>0</c:v>
                </c:pt>
                <c:pt idx="2">
                  <c:v>87799</c:v>
                </c:pt>
                <c:pt idx="3">
                  <c:v>0</c:v>
                </c:pt>
                <c:pt idx="4">
                  <c:v>98797</c:v>
                </c:pt>
                <c:pt idx="5">
                  <c:v>0</c:v>
                </c:pt>
                <c:pt idx="6">
                  <c:v>32222</c:v>
                </c:pt>
                <c:pt idx="7">
                  <c:v>0</c:v>
                </c:pt>
                <c:pt idx="8">
                  <c:v>23000</c:v>
                </c:pt>
              </c:numCache>
            </c:numRef>
          </c:val>
          <c:smooth val="1"/>
          <c:extLst>
            <c:ext xmlns:c16="http://schemas.microsoft.com/office/drawing/2014/chart" uri="{C3380CC4-5D6E-409C-BE32-E72D297353CC}">
              <c16:uniqueId val="{00000000-7750-4972-A04C-2895E668C021}"/>
            </c:ext>
          </c:extLst>
        </c:ser>
        <c:dLbls>
          <c:dLblPos val="t"/>
          <c:showLegendKey val="0"/>
          <c:showVal val="1"/>
          <c:showCatName val="0"/>
          <c:showSerName val="0"/>
          <c:showPercent val="0"/>
          <c:showBubbleSize val="0"/>
        </c:dLbls>
        <c:marker val="1"/>
        <c:smooth val="0"/>
        <c:axId val="703735760"/>
        <c:axId val="703734776"/>
      </c:lineChart>
      <c:catAx>
        <c:axId val="703735760"/>
        <c:scaling>
          <c:orientation val="minMax"/>
        </c:scaling>
        <c:delete val="0"/>
        <c:axPos val="b"/>
        <c:numFmt formatCode="General" sourceLinked="1"/>
        <c:majorTickMark val="none"/>
        <c:minorTickMark val="none"/>
        <c:tickLblPos val="nextTo"/>
        <c:spPr>
          <a:solidFill>
            <a:srgbClr val="00B0F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7030A0"/>
                </a:solidFill>
                <a:latin typeface="+mn-lt"/>
                <a:ea typeface="+mn-ea"/>
                <a:cs typeface="+mn-cs"/>
              </a:defRPr>
            </a:pPr>
            <a:endParaRPr lang="en-US"/>
          </a:p>
        </c:txPr>
        <c:crossAx val="703734776"/>
        <c:crosses val="autoZero"/>
        <c:auto val="1"/>
        <c:lblAlgn val="ctr"/>
        <c:lblOffset val="100"/>
        <c:noMultiLvlLbl val="0"/>
      </c:catAx>
      <c:valAx>
        <c:axId val="703734776"/>
        <c:scaling>
          <c:orientation val="minMax"/>
        </c:scaling>
        <c:delete val="1"/>
        <c:axPos val="l"/>
        <c:numFmt formatCode="General" sourceLinked="1"/>
        <c:majorTickMark val="none"/>
        <c:minorTickMark val="none"/>
        <c:tickLblPos val="nextTo"/>
        <c:crossAx val="703735760"/>
        <c:crosses val="autoZero"/>
        <c:crossBetween val="between"/>
      </c:valAx>
      <c:spPr>
        <a:noFill/>
        <a:ln w="12700">
          <a:solidFill>
            <a:schemeClr val="tx1"/>
          </a:solidFill>
        </a:ln>
        <a:effectLst>
          <a:softEdge rad="127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lumMod val="15000"/>
          <a:lumOff val="85000"/>
        </a:schemeClr>
      </a:solidFill>
      <a:round/>
    </a:ln>
    <a:effectLst>
      <a:glow rad="228600">
        <a:schemeClr val="accent3">
          <a:satMod val="175000"/>
          <a:alpha val="40000"/>
        </a:schemeClr>
      </a:glow>
      <a:outerShdw blurRad="50800" dist="38100" dir="10800000" algn="r" rotWithShape="0">
        <a:prstClr val="black">
          <a:alpha val="40000"/>
        </a:prstClr>
      </a:outerShdw>
    </a:effectLst>
    <a:scene3d>
      <a:camera prst="orthographicFront"/>
      <a:lightRig rig="threePt" dir="t"/>
    </a:scene3d>
    <a:sp3d prstMaterial="matte">
      <a:bevelT w="63500" h="63500" prst="angle"/>
      <a:contourClr>
        <a:srgbClr val="000000"/>
      </a:contourClr>
    </a:sp3d>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0"/>
      <c:rotY val="10"/>
      <c:depthPercent val="11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1111111111111109E-2"/>
          <c:y val="1.3100313680302158E-3"/>
          <c:w val="0.93888888888888888"/>
          <c:h val="0.8416746864975212"/>
        </c:manualLayout>
      </c:layout>
      <c:bar3DChart>
        <c:barDir val="bar"/>
        <c:grouping val="stacked"/>
        <c:varyColors val="0"/>
        <c:ser>
          <c:idx val="0"/>
          <c:order val="0"/>
          <c:tx>
            <c:strRef>
              <c:f>'BATTERY PERCENTAGE'!$H$3</c:f>
              <c:strCache>
                <c:ptCount val="1"/>
                <c:pt idx="0">
                  <c:v>FIRST CAP</c:v>
                </c:pt>
              </c:strCache>
            </c:strRef>
          </c:tx>
          <c:spPr>
            <a:solidFill>
              <a:schemeClr val="bg1">
                <a:lumMod val="50000"/>
              </a:schemeClr>
            </a:solidFill>
            <a:ln>
              <a:solidFill>
                <a:schemeClr val="bg2"/>
              </a:solidFill>
            </a:ln>
            <a:effectLst/>
            <a:sp3d>
              <a:contourClr>
                <a:schemeClr val="bg2"/>
              </a:contourClr>
            </a:sp3d>
          </c:spPr>
          <c:invertIfNegative val="0"/>
          <c:val>
            <c:numRef>
              <c:f>'BATTERY PERCENTAGE'!$I$3</c:f>
              <c:numCache>
                <c:formatCode>0%</c:formatCode>
                <c:ptCount val="1"/>
                <c:pt idx="0">
                  <c:v>0.05</c:v>
                </c:pt>
              </c:numCache>
            </c:numRef>
          </c:val>
          <c:extLst>
            <c:ext xmlns:c16="http://schemas.microsoft.com/office/drawing/2014/chart" uri="{C3380CC4-5D6E-409C-BE32-E72D297353CC}">
              <c16:uniqueId val="{00000000-4C1D-4B40-9901-FADDA52E9361}"/>
            </c:ext>
          </c:extLst>
        </c:ser>
        <c:ser>
          <c:idx val="1"/>
          <c:order val="1"/>
          <c:tx>
            <c:strRef>
              <c:f>'BATTERY PERCENTAGE'!$H$4</c:f>
              <c:strCache>
                <c:ptCount val="1"/>
                <c:pt idx="0">
                  <c:v>REMAINING CHARGE</c:v>
                </c:pt>
              </c:strCache>
            </c:strRef>
          </c:tx>
          <c:spPr>
            <a:solidFill>
              <a:schemeClr val="accent6"/>
            </a:solidFill>
            <a:ln>
              <a:solidFill>
                <a:schemeClr val="bg2"/>
              </a:solidFill>
            </a:ln>
            <a:effectLst/>
            <a:sp3d>
              <a:contourClr>
                <a:schemeClr val="bg2"/>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alpha val="79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'BATTERY PERCENTAGE'!$I$4</c:f>
              <c:numCache>
                <c:formatCode>0%</c:formatCode>
                <c:ptCount val="1"/>
                <c:pt idx="0">
                  <c:v>0.54</c:v>
                </c:pt>
              </c:numCache>
            </c:numRef>
          </c:val>
          <c:extLst>
            <c:ext xmlns:c16="http://schemas.microsoft.com/office/drawing/2014/chart" uri="{C3380CC4-5D6E-409C-BE32-E72D297353CC}">
              <c16:uniqueId val="{00000007-4C1D-4B40-9901-FADDA52E9361}"/>
            </c:ext>
          </c:extLst>
        </c:ser>
        <c:ser>
          <c:idx val="2"/>
          <c:order val="2"/>
          <c:tx>
            <c:strRef>
              <c:f>'BATTERY PERCENTAGE'!$H$5</c:f>
              <c:strCache>
                <c:ptCount val="1"/>
                <c:pt idx="0">
                  <c:v>CHARGE USED</c:v>
                </c:pt>
              </c:strCache>
            </c:strRef>
          </c:tx>
          <c:spPr>
            <a:solidFill>
              <a:srgbClr val="92D050">
                <a:alpha val="35000"/>
              </a:srgbClr>
            </a:solidFill>
            <a:ln>
              <a:solidFill>
                <a:schemeClr val="accent6"/>
              </a:solidFill>
            </a:ln>
            <a:effectLst/>
            <a:sp3d>
              <a:contourClr>
                <a:schemeClr val="accent6"/>
              </a:contourClr>
            </a:sp3d>
          </c:spPr>
          <c:invertIfNegative val="0"/>
          <c:val>
            <c:numRef>
              <c:f>'BATTERY PERCENTAGE'!$I$5</c:f>
              <c:numCache>
                <c:formatCode>0%</c:formatCode>
                <c:ptCount val="1"/>
                <c:pt idx="0">
                  <c:v>0.45999999999999996</c:v>
                </c:pt>
              </c:numCache>
            </c:numRef>
          </c:val>
          <c:extLst>
            <c:ext xmlns:c16="http://schemas.microsoft.com/office/drawing/2014/chart" uri="{C3380CC4-5D6E-409C-BE32-E72D297353CC}">
              <c16:uniqueId val="{00000008-4C1D-4B40-9901-FADDA52E9361}"/>
            </c:ext>
          </c:extLst>
        </c:ser>
        <c:ser>
          <c:idx val="3"/>
          <c:order val="3"/>
          <c:tx>
            <c:strRef>
              <c:f>'BATTERY PERCENTAGE'!$H$6</c:f>
              <c:strCache>
                <c:ptCount val="1"/>
                <c:pt idx="0">
                  <c:v>LAST CAP</c:v>
                </c:pt>
              </c:strCache>
            </c:strRef>
          </c:tx>
          <c:spPr>
            <a:solidFill>
              <a:schemeClr val="bg1">
                <a:lumMod val="50000"/>
              </a:schemeClr>
            </a:solidFill>
            <a:ln>
              <a:solidFill>
                <a:schemeClr val="bg2"/>
              </a:solidFill>
            </a:ln>
            <a:effectLst/>
            <a:sp3d>
              <a:contourClr>
                <a:schemeClr val="bg2"/>
              </a:contourClr>
            </a:sp3d>
          </c:spPr>
          <c:invertIfNegative val="0"/>
          <c:val>
            <c:numRef>
              <c:f>'BATTERY PERCENTAGE'!$I$6</c:f>
              <c:numCache>
                <c:formatCode>0%</c:formatCode>
                <c:ptCount val="1"/>
                <c:pt idx="0">
                  <c:v>0.05</c:v>
                </c:pt>
              </c:numCache>
            </c:numRef>
          </c:val>
          <c:extLst>
            <c:ext xmlns:c16="http://schemas.microsoft.com/office/drawing/2014/chart" uri="{C3380CC4-5D6E-409C-BE32-E72D297353CC}">
              <c16:uniqueId val="{00000009-4C1D-4B40-9901-FADDA52E9361}"/>
            </c:ext>
          </c:extLst>
        </c:ser>
        <c:dLbls>
          <c:showLegendKey val="0"/>
          <c:showVal val="0"/>
          <c:showCatName val="0"/>
          <c:showSerName val="0"/>
          <c:showPercent val="0"/>
          <c:showBubbleSize val="0"/>
        </c:dLbls>
        <c:gapWidth val="100"/>
        <c:gapDepth val="125"/>
        <c:shape val="cylinder"/>
        <c:axId val="564838864"/>
        <c:axId val="564836896"/>
        <c:axId val="0"/>
      </c:bar3DChart>
      <c:catAx>
        <c:axId val="564838864"/>
        <c:scaling>
          <c:orientation val="minMax"/>
        </c:scaling>
        <c:delete val="1"/>
        <c:axPos val="l"/>
        <c:numFmt formatCode="General" sourceLinked="1"/>
        <c:majorTickMark val="none"/>
        <c:minorTickMark val="none"/>
        <c:tickLblPos val="nextTo"/>
        <c:crossAx val="564836896"/>
        <c:crosses val="autoZero"/>
        <c:auto val="1"/>
        <c:lblAlgn val="ctr"/>
        <c:lblOffset val="100"/>
        <c:noMultiLvlLbl val="0"/>
      </c:catAx>
      <c:valAx>
        <c:axId val="564836896"/>
        <c:scaling>
          <c:orientation val="minMax"/>
        </c:scaling>
        <c:delete val="1"/>
        <c:axPos val="b"/>
        <c:numFmt formatCode="0%" sourceLinked="1"/>
        <c:majorTickMark val="none"/>
        <c:minorTickMark val="none"/>
        <c:tickLblPos val="nextTo"/>
        <c:crossAx val="56483886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12700" cap="rnd" cmpd="dbl" algn="ctr">
      <a:noFill/>
      <a:bevel/>
    </a:ln>
    <a:effectLst/>
  </c:spPr>
  <c:txPr>
    <a:bodyPr/>
    <a:lstStyle/>
    <a:p>
      <a:pPr>
        <a:defRPr>
          <a:solidFill>
            <a:srgbClr val="92D050">
              <a:alpha val="79000"/>
            </a:srgbClr>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0"/>
      <c:rotY val="0"/>
      <c:depthPercent val="110"/>
      <c:rAngAx val="0"/>
      <c:perspective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459129909991942"/>
          <c:y val="5.9846616733883876E-2"/>
          <c:w val="0.67704396670662548"/>
          <c:h val="0.8416746864975212"/>
        </c:manualLayout>
      </c:layout>
      <c:bar3DChart>
        <c:barDir val="col"/>
        <c:grouping val="percentStacked"/>
        <c:varyColors val="0"/>
        <c:ser>
          <c:idx val="0"/>
          <c:order val="0"/>
          <c:tx>
            <c:strRef>
              <c:f>'BATTERY PERCENTAGE'!$H$3</c:f>
              <c:strCache>
                <c:ptCount val="1"/>
                <c:pt idx="0">
                  <c:v>FIRST CAP</c:v>
                </c:pt>
              </c:strCache>
            </c:strRef>
          </c:tx>
          <c:spPr>
            <a:solidFill>
              <a:schemeClr val="bg1">
                <a:lumMod val="50000"/>
              </a:schemeClr>
            </a:solidFill>
            <a:ln>
              <a:solidFill>
                <a:schemeClr val="bg2"/>
              </a:solidFill>
            </a:ln>
            <a:effectLst/>
            <a:sp3d>
              <a:contourClr>
                <a:schemeClr val="bg2"/>
              </a:contourClr>
            </a:sp3d>
          </c:spPr>
          <c:invertIfNegative val="0"/>
          <c:val>
            <c:numRef>
              <c:f>'BATTERY PERCENTAGE'!$I$3</c:f>
              <c:numCache>
                <c:formatCode>0%</c:formatCode>
                <c:ptCount val="1"/>
                <c:pt idx="0">
                  <c:v>0.05</c:v>
                </c:pt>
              </c:numCache>
            </c:numRef>
          </c:val>
          <c:extLst>
            <c:ext xmlns:c16="http://schemas.microsoft.com/office/drawing/2014/chart" uri="{C3380CC4-5D6E-409C-BE32-E72D297353CC}">
              <c16:uniqueId val="{00000000-4C1D-4B40-9901-FADDA52E9361}"/>
            </c:ext>
          </c:extLst>
        </c:ser>
        <c:ser>
          <c:idx val="1"/>
          <c:order val="1"/>
          <c:tx>
            <c:strRef>
              <c:f>'BATTERY PERCENTAGE'!$H$4</c:f>
              <c:strCache>
                <c:ptCount val="1"/>
                <c:pt idx="0">
                  <c:v>REMAINING CHARGE</c:v>
                </c:pt>
              </c:strCache>
            </c:strRef>
          </c:tx>
          <c:spPr>
            <a:solidFill>
              <a:schemeClr val="accent6"/>
            </a:solidFill>
            <a:ln>
              <a:solidFill>
                <a:schemeClr val="bg2"/>
              </a:solidFill>
            </a:ln>
            <a:effectLst/>
            <a:sp3d>
              <a:contourClr>
                <a:schemeClr val="bg2"/>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alpha val="79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'BATTERY PERCENTAGE'!$I$4</c:f>
              <c:numCache>
                <c:formatCode>0%</c:formatCode>
                <c:ptCount val="1"/>
                <c:pt idx="0">
                  <c:v>0.54</c:v>
                </c:pt>
              </c:numCache>
            </c:numRef>
          </c:val>
          <c:extLst>
            <c:ext xmlns:c16="http://schemas.microsoft.com/office/drawing/2014/chart" uri="{C3380CC4-5D6E-409C-BE32-E72D297353CC}">
              <c16:uniqueId val="{00000007-4C1D-4B40-9901-FADDA52E9361}"/>
            </c:ext>
          </c:extLst>
        </c:ser>
        <c:ser>
          <c:idx val="2"/>
          <c:order val="2"/>
          <c:tx>
            <c:strRef>
              <c:f>'BATTERY PERCENTAGE'!$H$5</c:f>
              <c:strCache>
                <c:ptCount val="1"/>
                <c:pt idx="0">
                  <c:v>CHARGE USED</c:v>
                </c:pt>
              </c:strCache>
            </c:strRef>
          </c:tx>
          <c:spPr>
            <a:solidFill>
              <a:srgbClr val="92D050">
                <a:alpha val="35000"/>
              </a:srgbClr>
            </a:solidFill>
            <a:ln>
              <a:solidFill>
                <a:schemeClr val="accent6"/>
              </a:solidFill>
            </a:ln>
            <a:effectLst/>
            <a:sp3d>
              <a:contourClr>
                <a:schemeClr val="accent6"/>
              </a:contourClr>
            </a:sp3d>
          </c:spPr>
          <c:invertIfNegative val="0"/>
          <c:val>
            <c:numRef>
              <c:f>'BATTERY PERCENTAGE'!$I$5</c:f>
              <c:numCache>
                <c:formatCode>0%</c:formatCode>
                <c:ptCount val="1"/>
                <c:pt idx="0">
                  <c:v>0.45999999999999996</c:v>
                </c:pt>
              </c:numCache>
            </c:numRef>
          </c:val>
          <c:extLst>
            <c:ext xmlns:c16="http://schemas.microsoft.com/office/drawing/2014/chart" uri="{C3380CC4-5D6E-409C-BE32-E72D297353CC}">
              <c16:uniqueId val="{00000008-4C1D-4B40-9901-FADDA52E9361}"/>
            </c:ext>
          </c:extLst>
        </c:ser>
        <c:ser>
          <c:idx val="3"/>
          <c:order val="3"/>
          <c:tx>
            <c:strRef>
              <c:f>'BATTERY PERCENTAGE'!$H$6</c:f>
              <c:strCache>
                <c:ptCount val="1"/>
                <c:pt idx="0">
                  <c:v>LAST CAP</c:v>
                </c:pt>
              </c:strCache>
            </c:strRef>
          </c:tx>
          <c:spPr>
            <a:solidFill>
              <a:schemeClr val="bg1">
                <a:lumMod val="50000"/>
              </a:schemeClr>
            </a:solidFill>
            <a:ln>
              <a:solidFill>
                <a:schemeClr val="bg2"/>
              </a:solidFill>
            </a:ln>
            <a:effectLst/>
            <a:sp3d>
              <a:contourClr>
                <a:schemeClr val="bg2"/>
              </a:contourClr>
            </a:sp3d>
          </c:spPr>
          <c:invertIfNegative val="0"/>
          <c:val>
            <c:numRef>
              <c:f>'BATTERY PERCENTAGE'!$I$6</c:f>
              <c:numCache>
                <c:formatCode>0%</c:formatCode>
                <c:ptCount val="1"/>
                <c:pt idx="0">
                  <c:v>0.05</c:v>
                </c:pt>
              </c:numCache>
            </c:numRef>
          </c:val>
          <c:extLst>
            <c:ext xmlns:c16="http://schemas.microsoft.com/office/drawing/2014/chart" uri="{C3380CC4-5D6E-409C-BE32-E72D297353CC}">
              <c16:uniqueId val="{00000009-4C1D-4B40-9901-FADDA52E9361}"/>
            </c:ext>
          </c:extLst>
        </c:ser>
        <c:dLbls>
          <c:showLegendKey val="0"/>
          <c:showVal val="0"/>
          <c:showCatName val="0"/>
          <c:showSerName val="0"/>
          <c:showPercent val="0"/>
          <c:showBubbleSize val="0"/>
        </c:dLbls>
        <c:gapWidth val="102"/>
        <c:gapDepth val="109"/>
        <c:shape val="cylinder"/>
        <c:axId val="564838864"/>
        <c:axId val="564836896"/>
        <c:axId val="0"/>
      </c:bar3DChart>
      <c:catAx>
        <c:axId val="564838864"/>
        <c:scaling>
          <c:orientation val="minMax"/>
        </c:scaling>
        <c:delete val="1"/>
        <c:axPos val="b"/>
        <c:numFmt formatCode="General" sourceLinked="1"/>
        <c:majorTickMark val="none"/>
        <c:minorTickMark val="none"/>
        <c:tickLblPos val="nextTo"/>
        <c:crossAx val="564836896"/>
        <c:crosses val="autoZero"/>
        <c:auto val="1"/>
        <c:lblAlgn val="ctr"/>
        <c:lblOffset val="100"/>
        <c:noMultiLvlLbl val="0"/>
      </c:catAx>
      <c:valAx>
        <c:axId val="564836896"/>
        <c:scaling>
          <c:orientation val="minMax"/>
        </c:scaling>
        <c:delete val="1"/>
        <c:axPos val="l"/>
        <c:numFmt formatCode="0%" sourceLinked="1"/>
        <c:majorTickMark val="none"/>
        <c:minorTickMark val="none"/>
        <c:tickLblPos val="nextTo"/>
        <c:crossAx val="56483886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12700" cap="rnd" cmpd="dbl" algn="ctr">
      <a:noFill/>
      <a:bevel/>
    </a:ln>
    <a:effectLst/>
  </c:spPr>
  <c:txPr>
    <a:bodyPr/>
    <a:lstStyle/>
    <a:p>
      <a:pPr>
        <a:defRPr>
          <a:solidFill>
            <a:srgbClr val="92D050">
              <a:alpha val="79000"/>
            </a:srgbClr>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Sheet10!$B$13</c:f>
          <c:strCache>
            <c:ptCount val="1"/>
            <c:pt idx="0">
              <c:v>SALES REPORT FOR ALL STATES IN 2022-23</c:v>
            </c:pt>
          </c:strCache>
        </c:strRef>
      </c:tx>
      <c:overlay val="0"/>
      <c:spPr>
        <a:solidFill>
          <a:srgbClr val="FFCCFF"/>
        </a:solidFill>
        <a:ln>
          <a:noFill/>
        </a:ln>
        <a:effectLst/>
      </c:spPr>
      <c:txPr>
        <a:bodyPr rot="0" spcFirstLastPara="1" vertOverflow="ellipsis" vert="horz" wrap="square" anchor="ctr" anchorCtr="1"/>
        <a:lstStyle/>
        <a:p>
          <a:pPr>
            <a:defRPr sz="1400" b="1" i="1" u="sng" strike="noStrike" kern="1200" spc="0" baseline="0">
              <a:solidFill>
                <a:srgbClr val="FF0000"/>
              </a:solidFill>
              <a:latin typeface="+mn-lt"/>
              <a:ea typeface="+mn-ea"/>
              <a:cs typeface="+mn-cs"/>
            </a:defRPr>
          </a:pPr>
          <a:endParaRPr lang="en-US"/>
        </a:p>
      </c:txPr>
    </c:title>
    <c:autoTitleDeleted val="0"/>
    <c:plotArea>
      <c:layout/>
      <c:lineChart>
        <c:grouping val="stacked"/>
        <c:varyColors val="1"/>
        <c:ser>
          <c:idx val="0"/>
          <c:order val="0"/>
          <c:tx>
            <c:v>STATEWISE SALES REPORT</c:v>
          </c:tx>
          <c:marker>
            <c:symbol val="circle"/>
            <c:size val="5"/>
            <c:spPr>
              <a:ln w="15875">
                <a:solidFill>
                  <a:srgbClr val="FF0000">
                    <a:alpha val="83000"/>
                  </a:srgbClr>
                </a:solidFill>
              </a:ln>
            </c:spPr>
          </c:marker>
          <c:dPt>
            <c:idx val="0"/>
            <c:marker>
              <c:symbol val="circle"/>
              <c:size val="5"/>
              <c:spPr>
                <a:solidFill>
                  <a:schemeClr val="accent1"/>
                </a:solidFill>
                <a:ln w="15875">
                  <a:solidFill>
                    <a:srgbClr val="FF0000">
                      <a:alpha val="83000"/>
                    </a:srgbClr>
                  </a:solidFill>
                </a:ln>
                <a:effectLst/>
              </c:spPr>
            </c:marker>
            <c:bubble3D val="0"/>
            <c:spPr>
              <a:ln w="28575" cap="rnd">
                <a:solidFill>
                  <a:schemeClr val="accent1"/>
                </a:solidFill>
                <a:round/>
              </a:ln>
              <a:effectLst/>
            </c:spPr>
            <c:extLst>
              <c:ext xmlns:c16="http://schemas.microsoft.com/office/drawing/2014/chart" uri="{C3380CC4-5D6E-409C-BE32-E72D297353CC}">
                <c16:uniqueId val="{00000001-E6C3-4E61-A992-ECE1B9A7F121}"/>
              </c:ext>
            </c:extLst>
          </c:dPt>
          <c:dPt>
            <c:idx val="1"/>
            <c:marker>
              <c:symbol val="circle"/>
              <c:size val="5"/>
              <c:spPr>
                <a:solidFill>
                  <a:schemeClr val="accent2"/>
                </a:solidFill>
                <a:ln w="15875">
                  <a:solidFill>
                    <a:srgbClr val="FF0000">
                      <a:alpha val="83000"/>
                    </a:srgbClr>
                  </a:solidFill>
                </a:ln>
                <a:effectLst/>
              </c:spPr>
            </c:marker>
            <c:bubble3D val="0"/>
            <c:spPr>
              <a:ln w="28575" cap="rnd">
                <a:solidFill>
                  <a:schemeClr val="accent2"/>
                </a:solidFill>
                <a:round/>
              </a:ln>
              <a:effectLst/>
            </c:spPr>
            <c:extLst>
              <c:ext xmlns:c16="http://schemas.microsoft.com/office/drawing/2014/chart" uri="{C3380CC4-5D6E-409C-BE32-E72D297353CC}">
                <c16:uniqueId val="{00000003-E6C3-4E61-A992-ECE1B9A7F121}"/>
              </c:ext>
            </c:extLst>
          </c:dPt>
          <c:dPt>
            <c:idx val="2"/>
            <c:marker>
              <c:symbol val="circle"/>
              <c:size val="5"/>
              <c:spPr>
                <a:solidFill>
                  <a:schemeClr val="accent3"/>
                </a:solidFill>
                <a:ln w="15875">
                  <a:solidFill>
                    <a:srgbClr val="FF0000">
                      <a:alpha val="83000"/>
                    </a:srgbClr>
                  </a:solidFill>
                </a:ln>
                <a:effectLst/>
              </c:spPr>
            </c:marker>
            <c:bubble3D val="0"/>
            <c:spPr>
              <a:ln w="28575" cap="rnd">
                <a:solidFill>
                  <a:schemeClr val="accent3"/>
                </a:solidFill>
                <a:round/>
              </a:ln>
              <a:effectLst/>
            </c:spPr>
            <c:extLst>
              <c:ext xmlns:c16="http://schemas.microsoft.com/office/drawing/2014/chart" uri="{C3380CC4-5D6E-409C-BE32-E72D297353CC}">
                <c16:uniqueId val="{00000005-E6C3-4E61-A992-ECE1B9A7F121}"/>
              </c:ext>
            </c:extLst>
          </c:dPt>
          <c:dPt>
            <c:idx val="3"/>
            <c:marker>
              <c:symbol val="circle"/>
              <c:size val="5"/>
              <c:spPr>
                <a:solidFill>
                  <a:schemeClr val="accent4"/>
                </a:solidFill>
                <a:ln w="15875">
                  <a:solidFill>
                    <a:srgbClr val="FF0000">
                      <a:alpha val="83000"/>
                    </a:srgbClr>
                  </a:solidFill>
                </a:ln>
                <a:effectLst/>
              </c:spPr>
            </c:marker>
            <c:bubble3D val="0"/>
            <c:spPr>
              <a:ln w="28575" cap="rnd">
                <a:solidFill>
                  <a:schemeClr val="accent4"/>
                </a:solidFill>
                <a:round/>
              </a:ln>
              <a:effectLst/>
            </c:spPr>
            <c:extLst>
              <c:ext xmlns:c16="http://schemas.microsoft.com/office/drawing/2014/chart" uri="{C3380CC4-5D6E-409C-BE32-E72D297353CC}">
                <c16:uniqueId val="{00000007-E6C3-4E61-A992-ECE1B9A7F121}"/>
              </c:ext>
            </c:extLst>
          </c:dPt>
          <c:dPt>
            <c:idx val="4"/>
            <c:marker>
              <c:symbol val="circle"/>
              <c:size val="5"/>
              <c:spPr>
                <a:solidFill>
                  <a:schemeClr val="accent5"/>
                </a:solidFill>
                <a:ln w="15875">
                  <a:solidFill>
                    <a:srgbClr val="FF0000">
                      <a:alpha val="83000"/>
                    </a:srgbClr>
                  </a:solidFill>
                </a:ln>
                <a:effectLst/>
              </c:spPr>
            </c:marker>
            <c:bubble3D val="0"/>
            <c:spPr>
              <a:ln w="28575" cap="rnd">
                <a:solidFill>
                  <a:schemeClr val="accent5"/>
                </a:solidFill>
                <a:round/>
              </a:ln>
              <a:effectLst/>
            </c:spPr>
            <c:extLst>
              <c:ext xmlns:c16="http://schemas.microsoft.com/office/drawing/2014/chart" uri="{C3380CC4-5D6E-409C-BE32-E72D297353CC}">
                <c16:uniqueId val="{00000009-E6C3-4E61-A992-ECE1B9A7F121}"/>
              </c:ext>
            </c:extLst>
          </c:dPt>
          <c:dPt>
            <c:idx val="5"/>
            <c:marker>
              <c:symbol val="circle"/>
              <c:size val="5"/>
              <c:spPr>
                <a:solidFill>
                  <a:schemeClr val="accent6"/>
                </a:solidFill>
                <a:ln w="15875">
                  <a:solidFill>
                    <a:srgbClr val="FF0000">
                      <a:alpha val="83000"/>
                    </a:srgbClr>
                  </a:solidFill>
                </a:ln>
                <a:effectLst/>
              </c:spPr>
            </c:marker>
            <c:bubble3D val="0"/>
            <c:spPr>
              <a:ln w="28575" cap="rnd">
                <a:solidFill>
                  <a:schemeClr val="accent6"/>
                </a:solidFill>
                <a:round/>
              </a:ln>
              <a:effectLst/>
            </c:spPr>
            <c:extLst>
              <c:ext xmlns:c16="http://schemas.microsoft.com/office/drawing/2014/chart" uri="{C3380CC4-5D6E-409C-BE32-E72D297353CC}">
                <c16:uniqueId val="{0000000B-E6C3-4E61-A992-ECE1B9A7F121}"/>
              </c:ext>
            </c:extLst>
          </c:dPt>
          <c:dPt>
            <c:idx val="6"/>
            <c:marker>
              <c:symbol val="circle"/>
              <c:size val="5"/>
              <c:spPr>
                <a:solidFill>
                  <a:schemeClr val="accent1">
                    <a:lumMod val="60000"/>
                  </a:schemeClr>
                </a:solidFill>
                <a:ln w="15875">
                  <a:solidFill>
                    <a:srgbClr val="FF0000">
                      <a:alpha val="83000"/>
                    </a:srgbClr>
                  </a:solidFill>
                </a:ln>
                <a:effectLst/>
              </c:spPr>
            </c:marker>
            <c:bubble3D val="0"/>
            <c:spPr>
              <a:ln w="28575" cap="rnd">
                <a:solidFill>
                  <a:schemeClr val="accent1">
                    <a:lumMod val="60000"/>
                  </a:schemeClr>
                </a:solidFill>
                <a:round/>
              </a:ln>
              <a:effectLst/>
            </c:spPr>
            <c:extLst>
              <c:ext xmlns:c16="http://schemas.microsoft.com/office/drawing/2014/chart" uri="{C3380CC4-5D6E-409C-BE32-E72D297353CC}">
                <c16:uniqueId val="{0000000D-E6C3-4E61-A992-ECE1B9A7F121}"/>
              </c:ext>
            </c:extLst>
          </c:dPt>
          <c:dPt>
            <c:idx val="7"/>
            <c:marker>
              <c:symbol val="circle"/>
              <c:size val="5"/>
              <c:spPr>
                <a:solidFill>
                  <a:schemeClr val="accent2">
                    <a:lumMod val="60000"/>
                  </a:schemeClr>
                </a:solidFill>
                <a:ln w="15875">
                  <a:solidFill>
                    <a:srgbClr val="FF0000">
                      <a:alpha val="83000"/>
                    </a:srgbClr>
                  </a:solidFill>
                </a:ln>
                <a:effectLst/>
              </c:spPr>
            </c:marker>
            <c:bubble3D val="0"/>
            <c:spPr>
              <a:ln w="28575" cap="rnd">
                <a:solidFill>
                  <a:schemeClr val="accent2">
                    <a:lumMod val="60000"/>
                  </a:schemeClr>
                </a:solidFill>
                <a:round/>
              </a:ln>
              <a:effectLst/>
            </c:spPr>
            <c:extLst>
              <c:ext xmlns:c16="http://schemas.microsoft.com/office/drawing/2014/chart" uri="{C3380CC4-5D6E-409C-BE32-E72D297353CC}">
                <c16:uniqueId val="{0000000F-E6C3-4E61-A992-ECE1B9A7F121}"/>
              </c:ext>
            </c:extLst>
          </c:dPt>
          <c:dPt>
            <c:idx val="8"/>
            <c:marker>
              <c:symbol val="circle"/>
              <c:size val="5"/>
              <c:spPr>
                <a:solidFill>
                  <a:schemeClr val="accent3">
                    <a:lumMod val="60000"/>
                  </a:schemeClr>
                </a:solidFill>
                <a:ln w="15875">
                  <a:solidFill>
                    <a:srgbClr val="FF0000">
                      <a:alpha val="83000"/>
                    </a:srgbClr>
                  </a:solidFill>
                </a:ln>
                <a:effectLst/>
              </c:spPr>
            </c:marker>
            <c:bubble3D val="0"/>
            <c:spPr>
              <a:ln w="28575" cap="rnd">
                <a:solidFill>
                  <a:schemeClr val="accent3">
                    <a:lumMod val="60000"/>
                  </a:schemeClr>
                </a:solidFill>
                <a:round/>
              </a:ln>
              <a:effectLst/>
            </c:spPr>
            <c:extLst>
              <c:ext xmlns:c16="http://schemas.microsoft.com/office/drawing/2014/chart" uri="{C3380CC4-5D6E-409C-BE32-E72D297353CC}">
                <c16:uniqueId val="{00000011-4DEF-4CB1-8B66-AEFCC31966E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Sheet10!$E$5:$E$13</c:f>
              <c:strCache>
                <c:ptCount val="9"/>
                <c:pt idx="0">
                  <c:v>WEST BENGAL</c:v>
                </c:pt>
                <c:pt idx="1">
                  <c:v>BIHAR</c:v>
                </c:pt>
                <c:pt idx="2">
                  <c:v>UP</c:v>
                </c:pt>
                <c:pt idx="3">
                  <c:v>MAHARASHTRA</c:v>
                </c:pt>
                <c:pt idx="4">
                  <c:v>KERALA</c:v>
                </c:pt>
                <c:pt idx="5">
                  <c:v>ODISHA</c:v>
                </c:pt>
                <c:pt idx="6">
                  <c:v>GUJARAT</c:v>
                </c:pt>
                <c:pt idx="7">
                  <c:v>RAJASTHAN</c:v>
                </c:pt>
                <c:pt idx="8">
                  <c:v>KARNATAKA</c:v>
                </c:pt>
              </c:strCache>
            </c:strRef>
          </c:cat>
          <c:val>
            <c:numRef>
              <c:f>Sheet10!$F$5:$F$13</c:f>
              <c:numCache>
                <c:formatCode>General</c:formatCode>
                <c:ptCount val="9"/>
                <c:pt idx="0">
                  <c:v>56</c:v>
                </c:pt>
                <c:pt idx="1">
                  <c:v>34</c:v>
                </c:pt>
                <c:pt idx="2">
                  <c:v>45</c:v>
                </c:pt>
                <c:pt idx="3">
                  <c:v>70</c:v>
                </c:pt>
                <c:pt idx="4">
                  <c:v>40</c:v>
                </c:pt>
                <c:pt idx="5">
                  <c:v>67</c:v>
                </c:pt>
                <c:pt idx="6">
                  <c:v>45</c:v>
                </c:pt>
                <c:pt idx="7">
                  <c:v>60</c:v>
                </c:pt>
                <c:pt idx="8">
                  <c:v>44</c:v>
                </c:pt>
              </c:numCache>
            </c:numRef>
          </c:val>
          <c:smooth val="1"/>
          <c:extLst>
            <c:ext xmlns:c16="http://schemas.microsoft.com/office/drawing/2014/chart" uri="{C3380CC4-5D6E-409C-BE32-E72D297353CC}">
              <c16:uniqueId val="{00000000-A732-4FB2-9914-81C22FD2BC39}"/>
            </c:ext>
          </c:extLst>
        </c:ser>
        <c:dLbls>
          <c:showLegendKey val="0"/>
          <c:showVal val="0"/>
          <c:showCatName val="0"/>
          <c:showSerName val="0"/>
          <c:showPercent val="0"/>
          <c:showBubbleSize val="0"/>
        </c:dLbls>
        <c:marker val="1"/>
        <c:smooth val="0"/>
        <c:axId val="477422800"/>
        <c:axId val="477423128"/>
      </c:lineChart>
      <c:catAx>
        <c:axId val="477422800"/>
        <c:scaling>
          <c:orientation val="minMax"/>
        </c:scaling>
        <c:delete val="0"/>
        <c:axPos val="b"/>
        <c:numFmt formatCode="General" sourceLinked="1"/>
        <c:majorTickMark val="none"/>
        <c:minorTickMark val="none"/>
        <c:tickLblPos val="nextTo"/>
        <c:spPr>
          <a:solidFill>
            <a:srgbClr val="FFC0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77423128"/>
        <c:crosses val="autoZero"/>
        <c:auto val="1"/>
        <c:lblAlgn val="ctr"/>
        <c:lblOffset val="100"/>
        <c:noMultiLvlLbl val="0"/>
      </c:catAx>
      <c:valAx>
        <c:axId val="477423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C00000"/>
                </a:solidFill>
                <a:latin typeface="+mn-lt"/>
                <a:ea typeface="+mn-ea"/>
                <a:cs typeface="+mn-cs"/>
              </a:defRPr>
            </a:pPr>
            <a:endParaRPr lang="en-US"/>
          </a:p>
        </c:txPr>
        <c:crossAx val="477422800"/>
        <c:crosses val="autoZero"/>
        <c:crossBetween val="between"/>
      </c:valAx>
      <c:spPr>
        <a:gradFill flip="none" rotWithShape="1">
          <a:gsLst>
            <a:gs pos="0">
              <a:schemeClr val="accent3">
                <a:lumMod val="0"/>
                <a:lumOff val="100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16200000" scaled="1"/>
          <a:tileRect/>
        </a:gradFill>
        <a:ln>
          <a:solidFill>
            <a:srgbClr val="FFCCFF"/>
          </a:solidFill>
        </a:ln>
        <a:effectLst>
          <a:outerShdw blurRad="50800" dist="38100" algn="l" rotWithShape="0">
            <a:prstClr val="black">
              <a:alpha val="40000"/>
            </a:prstClr>
          </a:outerShdw>
          <a:softEdge rad="12700"/>
        </a:effectLst>
      </c:spPr>
    </c:plotArea>
    <c:plotVisOnly val="0"/>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4" lockText="1"/>
</file>

<file path=xl/ctrlProps/ctrlProp2.xml><?xml version="1.0" encoding="utf-8"?>
<formControlPr xmlns="http://schemas.microsoft.com/office/spreadsheetml/2009/9/main" objectType="CheckBox" fmlaLink="$D$5" lockText="1"/>
</file>

<file path=xl/ctrlProps/ctrlProp3.xml><?xml version="1.0" encoding="utf-8"?>
<formControlPr xmlns="http://schemas.microsoft.com/office/spreadsheetml/2009/9/main" objectType="CheckBox" checked="Checked" fmlaLink="$D$6" lockText="1"/>
</file>

<file path=xl/ctrlProps/ctrlProp4.xml><?xml version="1.0" encoding="utf-8"?>
<formControlPr xmlns="http://schemas.microsoft.com/office/spreadsheetml/2009/9/main" objectType="CheckBox" fmlaLink="$D$7" lockText="1"/>
</file>

<file path=xl/ctrlProps/ctrlProp5.xml><?xml version="1.0" encoding="utf-8"?>
<formControlPr xmlns="http://schemas.microsoft.com/office/spreadsheetml/2009/9/main" objectType="CheckBox" checked="Checked" fmlaLink="$D$8" lockText="1" noThreeD="1"/>
</file>

<file path=xl/ctrlProps/ctrlProp6.xml><?xml version="1.0" encoding="utf-8"?>
<formControlPr xmlns="http://schemas.microsoft.com/office/spreadsheetml/2009/9/main" objectType="CheckBox" fmlaLink="$D$9" lockText="1" noThreeD="1"/>
</file>

<file path=xl/ctrlProps/ctrlProp7.xml><?xml version="1.0" encoding="utf-8"?>
<formControlPr xmlns="http://schemas.microsoft.com/office/spreadsheetml/2009/9/main" objectType="CheckBox" checked="Checked" fmlaLink="$D$10" lockText="1"/>
</file>

<file path=xl/ctrlProps/ctrlProp8.xml><?xml version="1.0" encoding="utf-8"?>
<formControlPr xmlns="http://schemas.microsoft.com/office/spreadsheetml/2009/9/main" objectType="CheckBox" fmlaLink="$D$11" lockText="1"/>
</file>

<file path=xl/ctrlProps/ctrlProp9.xml><?xml version="1.0" encoding="utf-8"?>
<formControlPr xmlns="http://schemas.microsoft.com/office/spreadsheetml/2009/9/main" objectType="CheckBox" checked="Checked" fmlaLink="$D$12" lockText="1"/>
</file>

<file path=xl/ctrlProps/ctrlProp10.xml><?xml version="1.0" encoding="utf-8"?>
<formControlPr xmlns="http://schemas.microsoft.com/office/spreadsheetml/2009/9/main" objectType="Radio" checked="Checked" firstButton="1" fmlaLink="$N$39" lockText="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Drop" dropStyle="combo" dx="22" fmlaLink="$O$39" fmlaRange="$J$51:$J$58" sel="3" val="0"/>
</file>

<file path=xl/ctrlProps/ctrlProp13.xml><?xml version="1.0" encoding="utf-8"?>
<formControlPr xmlns="http://schemas.microsoft.com/office/spreadsheetml/2009/9/main" objectType="Drop" dropStyle="combo" dx="22" fmlaLink="$P$39" fmlaRange="$L$51:$L$57" sel="1" val="0"/>
</file>

<file path=xl/ctrlProps/ctrlProp14.xml><?xml version="1.0" encoding="utf-8"?>
<formControlPr xmlns="http://schemas.microsoft.com/office/spreadsheetml/2009/9/main" objectType="Drop" dropStyle="combo" dx="22" fmlaLink="$N$40" fmlaRange="$N$51:$N$56" sel="1" val="0"/>
</file>

<file path=xl/ctrlProps/ctrlProp15.xml><?xml version="1.0" encoding="utf-8"?>
<formControlPr xmlns="http://schemas.microsoft.com/office/spreadsheetml/2009/9/main" objectType="Drop" dropLines="10" dropStyle="combo" dx="22" fmlaLink="$O$40" fmlaRange="$I$47:$I$622" sel="560" val="552"/>
</file>

<file path=xl/ctrlProps/ctrlProp16.xml><?xml version="1.0" encoding="utf-8"?>
<formControlPr xmlns="http://schemas.microsoft.com/office/spreadsheetml/2009/9/main" objectType="Drop" dropLines="9" dropStyle="combo" dx="22" fmlaLink="$P$40" fmlaRange="$P$47:$P$83" sel="37" val="28"/>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Spin" dx="22" fmlaLink="$A$1" max="100" page="10" val="54"/>
</file>

<file path=xl/ctrlProps/ctrlProp20.xml><?xml version="1.0" encoding="utf-8"?>
<formControlPr xmlns="http://schemas.microsoft.com/office/spreadsheetml/2009/9/main" objectType="CheckBox" checked="Checked" fmlaLink="$D$5" lockText="1"/>
</file>

<file path=xl/ctrlProps/ctrlProp21.xml><?xml version="1.0" encoding="utf-8"?>
<formControlPr xmlns="http://schemas.microsoft.com/office/spreadsheetml/2009/9/main" objectType="CheckBox" checked="Checked" fmlaLink="$D$6" lockText="1" noThreeD="1"/>
</file>

<file path=xl/ctrlProps/ctrlProp22.xml><?xml version="1.0" encoding="utf-8"?>
<formControlPr xmlns="http://schemas.microsoft.com/office/spreadsheetml/2009/9/main" objectType="CheckBox" checked="Checked" fmlaLink="$D$7" lockText="1"/>
</file>

<file path=xl/ctrlProps/ctrlProp23.xml><?xml version="1.0" encoding="utf-8"?>
<formControlPr xmlns="http://schemas.microsoft.com/office/spreadsheetml/2009/9/main" objectType="CheckBox" checked="Checked" fmlaLink="$D$8" lockText="1"/>
</file>

<file path=xl/ctrlProps/ctrlProp24.xml><?xml version="1.0" encoding="utf-8"?>
<formControlPr xmlns="http://schemas.microsoft.com/office/spreadsheetml/2009/9/main" objectType="CheckBox" checked="Checked" fmlaLink="$D$9" lockText="1"/>
</file>

<file path=xl/ctrlProps/ctrlProp25.xml><?xml version="1.0" encoding="utf-8"?>
<formControlPr xmlns="http://schemas.microsoft.com/office/spreadsheetml/2009/9/main" objectType="CheckBox" checked="Checked" fmlaLink="$D$10" lockText="1"/>
</file>

<file path=xl/ctrlProps/ctrlProp26.xml><?xml version="1.0" encoding="utf-8"?>
<formControlPr xmlns="http://schemas.microsoft.com/office/spreadsheetml/2009/9/main" objectType="CheckBox" checked="Checked" fmlaLink="$D$11" lockText="1"/>
</file>

<file path=xl/ctrlProps/ctrlProp27.xml><?xml version="1.0" encoding="utf-8"?>
<formControlPr xmlns="http://schemas.microsoft.com/office/spreadsheetml/2009/9/main" objectType="CheckBox" checked="Checked" fmlaLink="$D$12" lockText="1"/>
</file>

<file path=xl/ctrlProps/ctrlProp28.xml><?xml version="1.0" encoding="utf-8"?>
<formControlPr xmlns="http://schemas.microsoft.com/office/spreadsheetml/2009/9/main" objectType="CheckBox" checked="Checked" fmlaLink="$D$13" lockText="1"/>
</file>

<file path=xl/ctrlProps/ctrlProp29.xml><?xml version="1.0" encoding="utf-8"?>
<formControlPr xmlns="http://schemas.microsoft.com/office/spreadsheetml/2009/9/main" objectType="CheckBox" checked="Checked" fmlaLink="$E$4" lockText="1" noThreeD="1"/>
</file>

<file path=xl/ctrlProps/ctrlProp30.xml><?xml version="1.0" encoding="utf-8"?>
<formControlPr xmlns="http://schemas.microsoft.com/office/spreadsheetml/2009/9/main" objectType="CheckBox" checked="Checked" fmlaLink="$E$5" lockText="1"/>
</file>

<file path=xl/ctrlProps/ctrlProp31.xml><?xml version="1.0" encoding="utf-8"?>
<formControlPr xmlns="http://schemas.microsoft.com/office/spreadsheetml/2009/9/main" objectType="CheckBox" fmlaLink="$E$6" lockText="1" noThreeD="1"/>
</file>

<file path=xl/ctrlProps/ctrlProp32.xml><?xml version="1.0" encoding="utf-8"?>
<formControlPr xmlns="http://schemas.microsoft.com/office/spreadsheetml/2009/9/main" objectType="CheckBox" fmlaLink="$E$7" lockText="1" noThreeD="1"/>
</file>

<file path=xl/ctrlProps/ctrlProp33.xml><?xml version="1.0" encoding="utf-8"?>
<formControlPr xmlns="http://schemas.microsoft.com/office/spreadsheetml/2009/9/main" objectType="CheckBox" checked="Checked" fmlaLink="$E$9" lockText="1" noThreeD="1"/>
</file>

<file path=xl/ctrlProps/ctrlProp34.xml><?xml version="1.0" encoding="utf-8"?>
<formControlPr xmlns="http://schemas.microsoft.com/office/spreadsheetml/2009/9/main" objectType="CheckBox" fmlaLink="$E$8" lockText="1" noThreeD="1"/>
</file>

<file path=xl/ctrlProps/ctrlProp35.xml><?xml version="1.0" encoding="utf-8"?>
<formControlPr xmlns="http://schemas.microsoft.com/office/spreadsheetml/2009/9/main" objectType="CheckBox" checked="Checked" fmlaLink="$E$11" lockText="1" noThreeD="1"/>
</file>

<file path=xl/ctrlProps/ctrlProp36.xml><?xml version="1.0" encoding="utf-8"?>
<formControlPr xmlns="http://schemas.microsoft.com/office/spreadsheetml/2009/9/main" objectType="CheckBox" fmlaLink="$E$12" lockText="1"/>
</file>

<file path=xl/ctrlProps/ctrlProp37.xml><?xml version="1.0" encoding="utf-8"?>
<formControlPr xmlns="http://schemas.microsoft.com/office/spreadsheetml/2009/9/main" objectType="CheckBox" checked="Checked" fmlaLink="$E$13" lockText="1" noThreeD="1"/>
</file>

<file path=xl/ctrlProps/ctrlProp38.xml><?xml version="1.0" encoding="utf-8"?>
<formControlPr xmlns="http://schemas.microsoft.com/office/spreadsheetml/2009/9/main" objectType="CheckBox" fmlaLink="$E$14" lockText="1" noThreeD="1"/>
</file>

<file path=xl/ctrlProps/ctrlProp39.xml><?xml version="1.0" encoding="utf-8"?>
<formControlPr xmlns="http://schemas.microsoft.com/office/spreadsheetml/2009/9/main" objectType="CheckBox" fmlaLink="$E$1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tmp"/><Relationship Id="rId7" Type="http://schemas.openxmlformats.org/officeDocument/2006/relationships/image" Target="../media/image7.tmp"/><Relationship Id="rId2" Type="http://schemas.openxmlformats.org/officeDocument/2006/relationships/image" Target="../media/image2.tmp"/><Relationship Id="rId1" Type="http://schemas.openxmlformats.org/officeDocument/2006/relationships/image" Target="../media/image1.tmp"/><Relationship Id="rId6" Type="http://schemas.openxmlformats.org/officeDocument/2006/relationships/image" Target="../media/image6.tmp"/><Relationship Id="rId5" Type="http://schemas.openxmlformats.org/officeDocument/2006/relationships/image" Target="../media/image5.tmp"/><Relationship Id="rId4" Type="http://schemas.openxmlformats.org/officeDocument/2006/relationships/image" Target="../media/image4.tmp"/></Relationships>
</file>

<file path=xl/drawings/_rels/drawing2.xml.rels><?xml version="1.0" encoding="UTF-8" standalone="yes"?>
<Relationships xmlns="http://schemas.openxmlformats.org/package/2006/relationships"><Relationship Id="rId3" Type="http://schemas.openxmlformats.org/officeDocument/2006/relationships/image" Target="../media/image10.tmp"/><Relationship Id="rId2" Type="http://schemas.openxmlformats.org/officeDocument/2006/relationships/image" Target="../media/image9.tmp"/><Relationship Id="rId1" Type="http://schemas.openxmlformats.org/officeDocument/2006/relationships/image" Target="../media/image8.tmp"/><Relationship Id="rId5" Type="http://schemas.openxmlformats.org/officeDocument/2006/relationships/image" Target="../media/image12.tmp"/><Relationship Id="rId4" Type="http://schemas.openxmlformats.org/officeDocument/2006/relationships/image" Target="../media/image11.tmp"/></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hyperlink" Target="#DATABASE!A1"/></Relationships>
</file>

<file path=xl/drawings/_rels/drawing6.xml.rels><?xml version="1.0" encoding="UTF-8" standalone="yes"?>
<Relationships xmlns="http://schemas.openxmlformats.org/package/2006/relationships"><Relationship Id="rId1" Type="http://schemas.openxmlformats.org/officeDocument/2006/relationships/hyperlink" Target="#'DATA ENTRY FORM'!D45"/></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png"/><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6</xdr:col>
      <xdr:colOff>476250</xdr:colOff>
      <xdr:row>4</xdr:row>
      <xdr:rowOff>38100</xdr:rowOff>
    </xdr:from>
    <xdr:to>
      <xdr:col>8</xdr:col>
      <xdr:colOff>257315</xdr:colOff>
      <xdr:row>7</xdr:row>
      <xdr:rowOff>9665</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96500" y="1714500"/>
          <a:ext cx="1000265" cy="1000265"/>
        </a:xfrm>
        <a:prstGeom prst="rect">
          <a:avLst/>
        </a:prstGeom>
      </xdr:spPr>
    </xdr:pic>
    <xdr:clientData/>
  </xdr:twoCellAnchor>
  <xdr:twoCellAnchor editAs="oneCell">
    <xdr:from>
      <xdr:col>9</xdr:col>
      <xdr:colOff>438150</xdr:colOff>
      <xdr:row>2</xdr:row>
      <xdr:rowOff>28575</xdr:rowOff>
    </xdr:from>
    <xdr:to>
      <xdr:col>11</xdr:col>
      <xdr:colOff>219215</xdr:colOff>
      <xdr:row>4</xdr:row>
      <xdr:rowOff>190640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87200" y="866775"/>
          <a:ext cx="1000265" cy="1000265"/>
        </a:xfrm>
        <a:prstGeom prst="rect">
          <a:avLst/>
        </a:prstGeom>
      </xdr:spPr>
    </xdr:pic>
    <xdr:clientData/>
  </xdr:twoCellAnchor>
  <xdr:twoCellAnchor editAs="oneCell">
    <xdr:from>
      <xdr:col>12</xdr:col>
      <xdr:colOff>428625</xdr:colOff>
      <xdr:row>2</xdr:row>
      <xdr:rowOff>114300</xdr:rowOff>
    </xdr:from>
    <xdr:to>
      <xdr:col>15</xdr:col>
      <xdr:colOff>28774</xdr:colOff>
      <xdr:row>5</xdr:row>
      <xdr:rowOff>285949</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706475" y="952500"/>
          <a:ext cx="1428949" cy="1428949"/>
        </a:xfrm>
        <a:prstGeom prst="rect">
          <a:avLst/>
        </a:prstGeom>
      </xdr:spPr>
    </xdr:pic>
    <xdr:clientData/>
  </xdr:twoCellAnchor>
  <xdr:twoCellAnchor editAs="oneCell">
    <xdr:from>
      <xdr:col>10</xdr:col>
      <xdr:colOff>228600</xdr:colOff>
      <xdr:row>11</xdr:row>
      <xdr:rowOff>19050</xdr:rowOff>
    </xdr:from>
    <xdr:to>
      <xdr:col>12</xdr:col>
      <xdr:colOff>209718</xdr:colOff>
      <xdr:row>17</xdr:row>
      <xdr:rowOff>76368</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287250" y="3486150"/>
          <a:ext cx="1200318" cy="1200318"/>
        </a:xfrm>
        <a:prstGeom prst="rect">
          <a:avLst/>
        </a:prstGeom>
      </xdr:spPr>
    </xdr:pic>
    <xdr:clientData/>
  </xdr:twoCellAnchor>
  <xdr:twoCellAnchor editAs="oneCell">
    <xdr:from>
      <xdr:col>4</xdr:col>
      <xdr:colOff>514349</xdr:colOff>
      <xdr:row>11</xdr:row>
      <xdr:rowOff>9524</xdr:rowOff>
    </xdr:from>
    <xdr:to>
      <xdr:col>7</xdr:col>
      <xdr:colOff>104774</xdr:colOff>
      <xdr:row>17</xdr:row>
      <xdr:rowOff>171449</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915399" y="3476624"/>
          <a:ext cx="1419225" cy="1304925"/>
        </a:xfrm>
        <a:prstGeom prst="rect">
          <a:avLst/>
        </a:prstGeom>
      </xdr:spPr>
    </xdr:pic>
    <xdr:clientData/>
  </xdr:twoCellAnchor>
  <xdr:twoCellAnchor editAs="oneCell">
    <xdr:from>
      <xdr:col>2</xdr:col>
      <xdr:colOff>1743075</xdr:colOff>
      <xdr:row>7</xdr:row>
      <xdr:rowOff>152400</xdr:rowOff>
    </xdr:from>
    <xdr:to>
      <xdr:col>3</xdr:col>
      <xdr:colOff>457399</xdr:colOff>
      <xdr:row>15</xdr:row>
      <xdr:rowOff>57349</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076950" y="2857500"/>
          <a:ext cx="1428949" cy="1428949"/>
        </a:xfrm>
        <a:prstGeom prst="rect">
          <a:avLst/>
        </a:prstGeom>
      </xdr:spPr>
    </xdr:pic>
    <xdr:clientData/>
  </xdr:twoCellAnchor>
  <xdr:twoCellAnchor editAs="oneCell">
    <xdr:from>
      <xdr:col>4</xdr:col>
      <xdr:colOff>0</xdr:colOff>
      <xdr:row>19</xdr:row>
      <xdr:rowOff>0</xdr:rowOff>
    </xdr:from>
    <xdr:to>
      <xdr:col>6</xdr:col>
      <xdr:colOff>438381</xdr:colOff>
      <xdr:row>27</xdr:row>
      <xdr:rowOff>133581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01050" y="4991100"/>
          <a:ext cx="1657581" cy="16575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590550</xdr:colOff>
      <xdr:row>3</xdr:row>
      <xdr:rowOff>133350</xdr:rowOff>
    </xdr:from>
    <xdr:to>
      <xdr:col>5</xdr:col>
      <xdr:colOff>305108</xdr:colOff>
      <xdr:row>9</xdr:row>
      <xdr:rowOff>133350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0" y="704850"/>
          <a:ext cx="1543358" cy="1143000"/>
        </a:xfrm>
        <a:prstGeom prst="rect">
          <a:avLst/>
        </a:prstGeom>
      </xdr:spPr>
    </xdr:pic>
    <xdr:clientData/>
  </xdr:twoCellAnchor>
  <xdr:twoCellAnchor editAs="oneCell">
    <xdr:from>
      <xdr:col>6</xdr:col>
      <xdr:colOff>0</xdr:colOff>
      <xdr:row>6</xdr:row>
      <xdr:rowOff>57150</xdr:rowOff>
    </xdr:from>
    <xdr:to>
      <xdr:col>8</xdr:col>
      <xdr:colOff>162118</xdr:colOff>
      <xdr:row>13</xdr:row>
      <xdr:rowOff>104968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829175" y="1200150"/>
          <a:ext cx="1381318" cy="1381318"/>
        </a:xfrm>
        <a:prstGeom prst="rect">
          <a:avLst/>
        </a:prstGeom>
      </xdr:spPr>
    </xdr:pic>
    <xdr:clientData/>
  </xdr:twoCellAnchor>
  <xdr:twoCellAnchor editAs="oneCell">
    <xdr:from>
      <xdr:col>9</xdr:col>
      <xdr:colOff>142875</xdr:colOff>
      <xdr:row>5</xdr:row>
      <xdr:rowOff>9525</xdr:rowOff>
    </xdr:from>
    <xdr:to>
      <xdr:col>11</xdr:col>
      <xdr:colOff>495519</xdr:colOff>
      <xdr:row>13</xdr:row>
      <xdr:rowOff>57369</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00850" y="962025"/>
          <a:ext cx="1571844" cy="1571844"/>
        </a:xfrm>
        <a:prstGeom prst="rect">
          <a:avLst/>
        </a:prstGeom>
      </xdr:spPr>
    </xdr:pic>
    <xdr:clientData/>
  </xdr:twoCellAnchor>
  <xdr:twoCellAnchor editAs="oneCell">
    <xdr:from>
      <xdr:col>4</xdr:col>
      <xdr:colOff>0</xdr:colOff>
      <xdr:row>14</xdr:row>
      <xdr:rowOff>0</xdr:rowOff>
    </xdr:from>
    <xdr:to>
      <xdr:col>5</xdr:col>
      <xdr:colOff>771718</xdr:colOff>
      <xdr:row>21</xdr:row>
      <xdr:rowOff>47818</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38400" y="2667000"/>
          <a:ext cx="1381318" cy="1381318"/>
        </a:xfrm>
        <a:prstGeom prst="rect">
          <a:avLst/>
        </a:prstGeom>
      </xdr:spPr>
    </xdr:pic>
    <xdr:clientData/>
  </xdr:twoCellAnchor>
  <xdr:twoCellAnchor editAs="oneCell">
    <xdr:from>
      <xdr:col>7</xdr:col>
      <xdr:colOff>485775</xdr:colOff>
      <xdr:row>15</xdr:row>
      <xdr:rowOff>152400</xdr:rowOff>
    </xdr:from>
    <xdr:to>
      <xdr:col>10</xdr:col>
      <xdr:colOff>85924</xdr:colOff>
      <xdr:row>23</xdr:row>
      <xdr:rowOff>57349</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24550" y="3009900"/>
          <a:ext cx="1428949" cy="1428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209550</xdr:colOff>
          <xdr:row>2</xdr:row>
          <xdr:rowOff>171450</xdr:rowOff>
        </xdr:from>
        <xdr:to>
          <xdr:col>3</xdr:col>
          <xdr:colOff>495300</xdr:colOff>
          <xdr:row>3</xdr:row>
          <xdr:rowOff>190500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xdr:row>
          <xdr:rowOff>171450</xdr:rowOff>
        </xdr:from>
        <xdr:to>
          <xdr:col>3</xdr:col>
          <xdr:colOff>495300</xdr:colOff>
          <xdr:row>4</xdr:row>
          <xdr:rowOff>190500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xdr:row>
          <xdr:rowOff>171450</xdr:rowOff>
        </xdr:from>
        <xdr:to>
          <xdr:col>3</xdr:col>
          <xdr:colOff>495300</xdr:colOff>
          <xdr:row>5</xdr:row>
          <xdr:rowOff>190500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5</xdr:row>
          <xdr:rowOff>171450</xdr:rowOff>
        </xdr:from>
        <xdr:to>
          <xdr:col>3</xdr:col>
          <xdr:colOff>495300</xdr:colOff>
          <xdr:row>6</xdr:row>
          <xdr:rowOff>190500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6</xdr:row>
          <xdr:rowOff>171450</xdr:rowOff>
        </xdr:from>
        <xdr:to>
          <xdr:col>3</xdr:col>
          <xdr:colOff>495300</xdr:colOff>
          <xdr:row>7</xdr:row>
          <xdr:rowOff>190500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7</xdr:row>
          <xdr:rowOff>171450</xdr:rowOff>
        </xdr:from>
        <xdr:to>
          <xdr:col>3</xdr:col>
          <xdr:colOff>495300</xdr:colOff>
          <xdr:row>8</xdr:row>
          <xdr:rowOff>190500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8</xdr:row>
          <xdr:rowOff>171450</xdr:rowOff>
        </xdr:from>
        <xdr:to>
          <xdr:col>3</xdr:col>
          <xdr:colOff>495300</xdr:colOff>
          <xdr:row>9</xdr:row>
          <xdr:rowOff>190500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9</xdr:row>
          <xdr:rowOff>171450</xdr:rowOff>
        </xdr:from>
        <xdr:to>
          <xdr:col>3</xdr:col>
          <xdr:colOff>495300</xdr:colOff>
          <xdr:row>10</xdr:row>
          <xdr:rowOff>190500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66674</xdr:colOff>
      <xdr:row>3</xdr:row>
      <xdr:rowOff>42861</xdr:rowOff>
    </xdr:from>
    <xdr:to>
      <xdr:col>19</xdr:col>
      <xdr:colOff>133349</xdr:colOff>
      <xdr:row>19</xdr:row>
      <xdr:rowOff>190499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209550</xdr:colOff>
          <xdr:row>10</xdr:row>
          <xdr:rowOff>171450</xdr:rowOff>
        </xdr:from>
        <xdr:to>
          <xdr:col>3</xdr:col>
          <xdr:colOff>495300</xdr:colOff>
          <xdr:row>11</xdr:row>
          <xdr:rowOff>190500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20</xdr:col>
      <xdr:colOff>16397</xdr:colOff>
      <xdr:row>1</xdr:row>
      <xdr:rowOff>0</xdr:rowOff>
    </xdr:from>
    <xdr:ext cx="2367507" cy="646459"/>
    <xdr:sp macro="" textlink="">
      <xdr:nvSpPr>
        <xdr:cNvPr id="2" name="Rectangle 1">
          <a:extLst>
            <a:ext uri="{FF2B5EF4-FFF2-40B4-BE49-F238E27FC236}">
              <a16:creationId xmlns:a16="http://schemas.microsoft.com/office/drawing/2014/main" id="{00000000-0008-0000-0600-000002000000}"/>
            </a:ext>
          </a:extLst>
        </xdr:cNvPr>
        <xdr:cNvSpPr/>
      </xdr:nvSpPr>
      <xdr:spPr>
        <a:xfrm>
          <a:off x="9236597" y="200025"/>
          <a:ext cx="2367507" cy="646459"/>
        </a:xfrm>
        <a:prstGeom prst="rect">
          <a:avLst/>
        </a:prstGeom>
        <a:solidFill>
          <a:schemeClr val="bg1">
            <a:lumMod val="95000"/>
          </a:schemeClr>
        </a:solidFill>
        <a:ln w="12700">
          <a:noFill/>
        </a:ln>
        <a:effectLst>
          <a:glow rad="228600">
            <a:schemeClr val="accent3">
              <a:satMod val="175000"/>
              <a:alpha val="40000"/>
            </a:schemeClr>
          </a:glow>
          <a:outerShdw blurRad="50800" dist="38100" dir="18900000" algn="bl" rotWithShape="0">
            <a:prstClr val="black">
              <a:alpha val="40000"/>
            </a:prstClr>
          </a:outerShdw>
          <a:reflection blurRad="6350" stA="50000" endA="300" endPos="55500" dist="1016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wrap="none" lIns="91440" tIns="45720" rIns="91440" bIns="45720">
          <a:spAutoFit/>
        </a:bodyPr>
        <a:lstStyle/>
        <a:p>
          <a:pPr algn="ctr"/>
          <a:r>
            <a:rPr lang="en-US" sz="3600" b="0" i="1" cap="none" spc="0">
              <a:ln w="0"/>
              <a:solidFill>
                <a:schemeClr val="accent1">
                  <a:lumMod val="50000"/>
                </a:schemeClr>
              </a:solidFill>
              <a:effectLst>
                <a:outerShdw blurRad="38100" dist="19050" dir="2700000" algn="tl" rotWithShape="0">
                  <a:schemeClr val="dk1">
                    <a:alpha val="40000"/>
                  </a:schemeClr>
                </a:outerShdw>
              </a:effectLst>
              <a:latin typeface="Bahnschrift Condensed" panose="020B0502040204020203" pitchFamily="34" charset="0"/>
            </a:rPr>
            <a:t>PROJECT</a:t>
          </a:r>
          <a:r>
            <a:rPr lang="en-US" sz="3600" b="0" i="1" cap="none" spc="0" baseline="0">
              <a:ln w="0"/>
              <a:solidFill>
                <a:schemeClr val="accent1">
                  <a:lumMod val="50000"/>
                </a:schemeClr>
              </a:solidFill>
              <a:effectLst>
                <a:outerShdw blurRad="38100" dist="19050" dir="2700000" algn="tl" rotWithShape="0">
                  <a:schemeClr val="dk1">
                    <a:alpha val="40000"/>
                  </a:schemeClr>
                </a:outerShdw>
              </a:effectLst>
              <a:latin typeface="Bahnschrift Condensed" panose="020B0502040204020203" pitchFamily="34" charset="0"/>
            </a:rPr>
            <a:t> PLAN</a:t>
          </a:r>
          <a:endParaRPr lang="en-US" sz="3600" b="0" i="1" cap="none" spc="0">
            <a:ln w="0"/>
            <a:solidFill>
              <a:schemeClr val="accent1">
                <a:lumMod val="50000"/>
              </a:schemeClr>
            </a:solidFill>
            <a:effectLst>
              <a:outerShdw blurRad="38100" dist="19050" dir="2700000" algn="tl" rotWithShape="0">
                <a:schemeClr val="dk1">
                  <a:alpha val="40000"/>
                </a:schemeClr>
              </a:outerShdw>
            </a:effectLst>
            <a:latin typeface="Bahnschrift Condensed" panose="020B0502040204020203" pitchFamily="34" charset="0"/>
          </a:endParaRPr>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44</xdr:row>
          <xdr:rowOff>9525</xdr:rowOff>
        </xdr:from>
        <xdr:to>
          <xdr:col>5</xdr:col>
          <xdr:colOff>409575</xdr:colOff>
          <xdr:row>45</xdr:row>
          <xdr:rowOff>47625</xdr:rowOff>
        </xdr:to>
        <xdr:sp macro="" textlink="">
          <xdr:nvSpPr>
            <xdr:cNvPr id="7177" name="TextBox1" hidden="1">
              <a:extLst>
                <a:ext uri="{63B3BB69-23CF-44E3-9099-C40C66FF867C}">
                  <a14:compatExt spid="_x0000_s7177"/>
                </a:ext>
                <a:ext uri="{FF2B5EF4-FFF2-40B4-BE49-F238E27FC236}">
                  <a16:creationId xmlns:a16="http://schemas.microsoft.com/office/drawing/2014/main" id="{00000000-0008-0000-07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46</xdr:row>
          <xdr:rowOff>19050</xdr:rowOff>
        </xdr:from>
        <xdr:to>
          <xdr:col>5</xdr:col>
          <xdr:colOff>409575</xdr:colOff>
          <xdr:row>47</xdr:row>
          <xdr:rowOff>57150</xdr:rowOff>
        </xdr:to>
        <xdr:sp macro="" textlink="">
          <xdr:nvSpPr>
            <xdr:cNvPr id="7178" name="TextBox2" hidden="1">
              <a:extLst>
                <a:ext uri="{63B3BB69-23CF-44E3-9099-C40C66FF867C}">
                  <a14:compatExt spid="_x0000_s7178"/>
                </a:ext>
                <a:ext uri="{FF2B5EF4-FFF2-40B4-BE49-F238E27FC236}">
                  <a16:creationId xmlns:a16="http://schemas.microsoft.com/office/drawing/2014/main" id="{00000000-0008-0000-07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49</xdr:row>
          <xdr:rowOff>57150</xdr:rowOff>
        </xdr:from>
        <xdr:to>
          <xdr:col>5</xdr:col>
          <xdr:colOff>409575</xdr:colOff>
          <xdr:row>50</xdr:row>
          <xdr:rowOff>200025</xdr:rowOff>
        </xdr:to>
        <xdr:sp macro="" textlink="">
          <xdr:nvSpPr>
            <xdr:cNvPr id="7179" name="TextBox3" hidden="1">
              <a:extLst>
                <a:ext uri="{63B3BB69-23CF-44E3-9099-C40C66FF867C}">
                  <a14:compatExt spid="_x0000_s7179"/>
                </a:ext>
                <a:ext uri="{FF2B5EF4-FFF2-40B4-BE49-F238E27FC236}">
                  <a16:creationId xmlns:a16="http://schemas.microsoft.com/office/drawing/2014/main" id="{00000000-0008-0000-07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52</xdr:row>
          <xdr:rowOff>0</xdr:rowOff>
        </xdr:from>
        <xdr:to>
          <xdr:col>5</xdr:col>
          <xdr:colOff>409575</xdr:colOff>
          <xdr:row>53</xdr:row>
          <xdr:rowOff>38100</xdr:rowOff>
        </xdr:to>
        <xdr:sp macro="" textlink="">
          <xdr:nvSpPr>
            <xdr:cNvPr id="7180" name="TextBox4" hidden="1">
              <a:extLst>
                <a:ext uri="{63B3BB69-23CF-44E3-9099-C40C66FF867C}">
                  <a14:compatExt spid="_x0000_s7180"/>
                </a:ext>
                <a:ext uri="{FF2B5EF4-FFF2-40B4-BE49-F238E27FC236}">
                  <a16:creationId xmlns:a16="http://schemas.microsoft.com/office/drawing/2014/main" id="{00000000-0008-0000-07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64</xdr:row>
          <xdr:rowOff>19050</xdr:rowOff>
        </xdr:from>
        <xdr:to>
          <xdr:col>5</xdr:col>
          <xdr:colOff>409575</xdr:colOff>
          <xdr:row>65</xdr:row>
          <xdr:rowOff>57150</xdr:rowOff>
        </xdr:to>
        <xdr:sp macro="" textlink="">
          <xdr:nvSpPr>
            <xdr:cNvPr id="7181" name="TextBox5" hidden="1">
              <a:extLst>
                <a:ext uri="{63B3BB69-23CF-44E3-9099-C40C66FF867C}">
                  <a14:compatExt spid="_x0000_s7181"/>
                </a:ext>
                <a:ext uri="{FF2B5EF4-FFF2-40B4-BE49-F238E27FC236}">
                  <a16:creationId xmlns:a16="http://schemas.microsoft.com/office/drawing/2014/main" id="{00000000-0008-0000-07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48</xdr:row>
          <xdr:rowOff>0</xdr:rowOff>
        </xdr:from>
        <xdr:to>
          <xdr:col>4</xdr:col>
          <xdr:colOff>619125</xdr:colOff>
          <xdr:row>49</xdr:row>
          <xdr:rowOff>19050</xdr:rowOff>
        </xdr:to>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7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847725</xdr:colOff>
          <xdr:row>48</xdr:row>
          <xdr:rowOff>0</xdr:rowOff>
        </xdr:from>
        <xdr:to>
          <xdr:col>4</xdr:col>
          <xdr:colOff>1447800</xdr:colOff>
          <xdr:row>49</xdr:row>
          <xdr:rowOff>19050</xdr:rowOff>
        </xdr:to>
        <xdr:sp macro="" textlink="">
          <xdr:nvSpPr>
            <xdr:cNvPr id="7183" name="Option Button 15" hidden="1">
              <a:extLst>
                <a:ext uri="{63B3BB69-23CF-44E3-9099-C40C66FF867C}">
                  <a14:compatExt spid="_x0000_s7183"/>
                </a:ext>
                <a:ext uri="{FF2B5EF4-FFF2-40B4-BE49-F238E27FC236}">
                  <a16:creationId xmlns:a16="http://schemas.microsoft.com/office/drawing/2014/main" id="{00000000-0008-0000-07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FEMALE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54</xdr:row>
          <xdr:rowOff>9525</xdr:rowOff>
        </xdr:from>
        <xdr:to>
          <xdr:col>5</xdr:col>
          <xdr:colOff>419100</xdr:colOff>
          <xdr:row>55</xdr:row>
          <xdr:rowOff>19050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7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0</xdr:rowOff>
        </xdr:from>
        <xdr:to>
          <xdr:col>5</xdr:col>
          <xdr:colOff>419100</xdr:colOff>
          <xdr:row>57</xdr:row>
          <xdr:rowOff>9525</xdr:rowOff>
        </xdr:to>
        <xdr:sp macro="" textlink="">
          <xdr:nvSpPr>
            <xdr:cNvPr id="7191" name="Drop Down 23" hidden="1">
              <a:extLst>
                <a:ext uri="{63B3BB69-23CF-44E3-9099-C40C66FF867C}">
                  <a14:compatExt spid="_x0000_s7191"/>
                </a:ext>
                <a:ext uri="{FF2B5EF4-FFF2-40B4-BE49-F238E27FC236}">
                  <a16:creationId xmlns:a16="http://schemas.microsoft.com/office/drawing/2014/main" id="{00000000-0008-0000-0700-00001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57</xdr:row>
          <xdr:rowOff>57150</xdr:rowOff>
        </xdr:from>
        <xdr:to>
          <xdr:col>5</xdr:col>
          <xdr:colOff>419100</xdr:colOff>
          <xdr:row>58</xdr:row>
          <xdr:rowOff>171450</xdr:rowOff>
        </xdr:to>
        <xdr:sp macro="" textlink="">
          <xdr:nvSpPr>
            <xdr:cNvPr id="7192" name="Drop Down 24" hidden="1">
              <a:extLst>
                <a:ext uri="{63B3BB69-23CF-44E3-9099-C40C66FF867C}">
                  <a14:compatExt spid="_x0000_s7192"/>
                </a:ext>
                <a:ext uri="{FF2B5EF4-FFF2-40B4-BE49-F238E27FC236}">
                  <a16:creationId xmlns:a16="http://schemas.microsoft.com/office/drawing/2014/main" id="{00000000-0008-0000-0700-00001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59</xdr:row>
          <xdr:rowOff>66675</xdr:rowOff>
        </xdr:from>
        <xdr:to>
          <xdr:col>5</xdr:col>
          <xdr:colOff>409575</xdr:colOff>
          <xdr:row>60</xdr:row>
          <xdr:rowOff>180975</xdr:rowOff>
        </xdr:to>
        <xdr:sp macro="" textlink="">
          <xdr:nvSpPr>
            <xdr:cNvPr id="7193" name="Drop Down 25" hidden="1">
              <a:extLst>
                <a:ext uri="{63B3BB69-23CF-44E3-9099-C40C66FF867C}">
                  <a14:compatExt spid="_x0000_s7193"/>
                </a:ext>
                <a:ext uri="{FF2B5EF4-FFF2-40B4-BE49-F238E27FC236}">
                  <a16:creationId xmlns:a16="http://schemas.microsoft.com/office/drawing/2014/main" id="{00000000-0008-0000-0700-00001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62</xdr:row>
          <xdr:rowOff>0</xdr:rowOff>
        </xdr:from>
        <xdr:to>
          <xdr:col>5</xdr:col>
          <xdr:colOff>409575</xdr:colOff>
          <xdr:row>63</xdr:row>
          <xdr:rowOff>9525</xdr:rowOff>
        </xdr:to>
        <xdr:sp macro="" textlink="">
          <xdr:nvSpPr>
            <xdr:cNvPr id="7194" name="Drop Down 26" hidden="1">
              <a:extLst>
                <a:ext uri="{63B3BB69-23CF-44E3-9099-C40C66FF867C}">
                  <a14:compatExt spid="_x0000_s7194"/>
                </a:ext>
                <a:ext uri="{FF2B5EF4-FFF2-40B4-BE49-F238E27FC236}">
                  <a16:creationId xmlns:a16="http://schemas.microsoft.com/office/drawing/2014/main" id="{00000000-0008-0000-0700-00001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352425</xdr:colOff>
          <xdr:row>66</xdr:row>
          <xdr:rowOff>104775</xdr:rowOff>
        </xdr:from>
        <xdr:to>
          <xdr:col>3</xdr:col>
          <xdr:colOff>1428750</xdr:colOff>
          <xdr:row>68</xdr:row>
          <xdr:rowOff>9525</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700-00001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904875</xdr:colOff>
          <xdr:row>66</xdr:row>
          <xdr:rowOff>95250</xdr:rowOff>
        </xdr:from>
        <xdr:to>
          <xdr:col>5</xdr:col>
          <xdr:colOff>295275</xdr:colOff>
          <xdr:row>68</xdr:row>
          <xdr:rowOff>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700-00001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twoCellAnchor>
    <xdr:from>
      <xdr:col>3</xdr:col>
      <xdr:colOff>828675</xdr:colOff>
      <xdr:row>41</xdr:row>
      <xdr:rowOff>104776</xdr:rowOff>
    </xdr:from>
    <xdr:to>
      <xdr:col>5</xdr:col>
      <xdr:colOff>0</xdr:colOff>
      <xdr:row>43</xdr:row>
      <xdr:rowOff>9526</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3371850" y="7620001"/>
          <a:ext cx="24098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DATA  ENTRY FORM</a:t>
          </a:r>
        </a:p>
      </xdr:txBody>
    </xdr:sp>
    <xdr:clientData/>
  </xdr:twoCellAnchor>
  <xdr:twoCellAnchor>
    <xdr:from>
      <xdr:col>7</xdr:col>
      <xdr:colOff>549088</xdr:colOff>
      <xdr:row>43</xdr:row>
      <xdr:rowOff>67235</xdr:rowOff>
    </xdr:from>
    <xdr:to>
      <xdr:col>9</xdr:col>
      <xdr:colOff>112059</xdr:colOff>
      <xdr:row>54</xdr:row>
      <xdr:rowOff>78441</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9256059" y="8348382"/>
          <a:ext cx="2498912" cy="1636059"/>
        </a:xfrm>
        <a:prstGeom prst="rightArrow">
          <a:avLst/>
        </a:prstGeom>
        <a:solidFill>
          <a:schemeClr val="accent4"/>
        </a:solidFill>
        <a:ln>
          <a:noFill/>
        </a:ln>
        <a:effectLst>
          <a:glow rad="63500">
            <a:schemeClr val="accent1">
              <a:satMod val="175000"/>
              <a:alpha val="40000"/>
            </a:schemeClr>
          </a:glow>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GO TO DATABASE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539750</xdr:colOff>
      <xdr:row>1</xdr:row>
      <xdr:rowOff>148167</xdr:rowOff>
    </xdr:from>
    <xdr:to>
      <xdr:col>14</xdr:col>
      <xdr:colOff>95250</xdr:colOff>
      <xdr:row>6</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2297833" y="349250"/>
          <a:ext cx="1397000" cy="804333"/>
        </a:xfrm>
        <a:prstGeom prst="roundRect">
          <a:avLst/>
        </a:prstGeom>
        <a:solidFill>
          <a:srgbClr val="FF0000"/>
        </a:solidFill>
        <a:ln>
          <a:noFill/>
        </a:ln>
        <a:effectLst>
          <a:glow rad="139700">
            <a:schemeClr val="accent2">
              <a:satMod val="175000"/>
              <a:alpha val="40000"/>
            </a:schemeClr>
          </a:glow>
          <a:outerShdw blurRad="107950" dist="12700" dir="5400000" algn="ctr">
            <a:srgbClr val="000000"/>
          </a:outerShdw>
          <a:reflection blurRad="6350" stA="50000" endA="275" endPos="40000" dist="1016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a:t>GO TO HOME BACK</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409575</xdr:colOff>
          <xdr:row>7</xdr:row>
          <xdr:rowOff>57150</xdr:rowOff>
        </xdr:from>
        <xdr:to>
          <xdr:col>3</xdr:col>
          <xdr:colOff>361950</xdr:colOff>
          <xdr:row>10</xdr:row>
          <xdr:rowOff>57150</xdr:rowOff>
        </xdr:to>
        <xdr:sp macro="" textlink="">
          <xdr:nvSpPr>
            <xdr:cNvPr id="18433" name="Spinner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13</xdr:col>
      <xdr:colOff>561975</xdr:colOff>
      <xdr:row>2</xdr:row>
      <xdr:rowOff>171450</xdr:rowOff>
    </xdr:from>
    <xdr:to>
      <xdr:col>19</xdr:col>
      <xdr:colOff>581025</xdr:colOff>
      <xdr:row>13</xdr:row>
      <xdr:rowOff>9525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9524</xdr:colOff>
      <xdr:row>4</xdr:row>
      <xdr:rowOff>123825</xdr:rowOff>
    </xdr:from>
    <xdr:to>
      <xdr:col>12</xdr:col>
      <xdr:colOff>600075</xdr:colOff>
      <xdr:row>16</xdr:row>
      <xdr:rowOff>171450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304799</xdr:colOff>
          <xdr:row>18</xdr:row>
          <xdr:rowOff>66675</xdr:rowOff>
        </xdr:from>
        <xdr:to>
          <xdr:col>7</xdr:col>
          <xdr:colOff>676274</xdr:colOff>
          <xdr:row>22</xdr:row>
          <xdr:rowOff>142875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a:extLst>
                <a:ext uri="{84589F7E-364E-4C9E-8A38-B11213B215E9}">
                  <a14:cameraTool cellRange="$D$18" spid="_x0000_s15447"/>
                </a:ext>
              </a:extLst>
            </xdr:cNvPicPr>
          </xdr:nvPicPr>
          <xdr:blipFill>
            <a:blip xmlns:r="http://schemas.openxmlformats.org/officeDocument/2006/relationships" r:embed="rId1"/>
            <a:srcRect/>
            <a:stretch>
              <a:fillRect/>
            </a:stretch>
          </xdr:blipFill>
          <xdr:spPr bwMode="auto">
            <a:xfrm>
              <a:off x="4543424" y="3695700"/>
              <a:ext cx="2066925" cy="838200"/>
            </a:xfrm>
            <a:prstGeom prst="rect">
              <a:avLst/>
            </a:prstGeom>
            <a:ln>
              <a:noFill/>
            </a:ln>
            <a:effectLst>
              <a:glow rad="101600">
                <a:schemeClr val="accent1">
                  <a:satMod val="175000"/>
                  <a:alpha val="40000"/>
                </a:schemeClr>
              </a:glow>
              <a:outerShdw blurRad="50800" dist="38100" algn="l" rotWithShape="0">
                <a:prstClr val="black">
                  <a:alpha val="40000"/>
                </a:prstClr>
              </a:outerShdw>
              <a:reflection blurRad="6350" stA="52000" endA="300" endPos="35000" dir="5400000" sy="-100000" algn="bl" rotWithShape="0"/>
              <a:softEdge rad="112500"/>
            </a:effectLst>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24</xdr:row>
          <xdr:rowOff>66675</xdr:rowOff>
        </xdr:from>
        <xdr:to>
          <xdr:col>7</xdr:col>
          <xdr:colOff>95250</xdr:colOff>
          <xdr:row>28</xdr:row>
          <xdr:rowOff>57150</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C$23" spid="_x0000_s15448"/>
                </a:ext>
              </a:extLst>
            </xdr:cNvPicPr>
          </xdr:nvPicPr>
          <xdr:blipFill>
            <a:blip xmlns:r="http://schemas.openxmlformats.org/officeDocument/2006/relationships" r:embed="rId2"/>
            <a:srcRect/>
            <a:stretch>
              <a:fillRect/>
            </a:stretch>
          </xdr:blipFill>
          <xdr:spPr bwMode="auto">
            <a:xfrm>
              <a:off x="3609975" y="4895850"/>
              <a:ext cx="2419350" cy="752475"/>
            </a:xfrm>
            <a:prstGeom prst="rect">
              <a:avLst/>
            </a:prstGeom>
            <a:noFill/>
            <a:ln>
              <a:noFill/>
            </a:ln>
            <a:effectLst>
              <a:glow rad="101600">
                <a:schemeClr val="accent2">
                  <a:satMod val="175000"/>
                  <a:alpha val="40000"/>
                </a:schemeClr>
              </a:glow>
              <a:outerShdw blurRad="107950" dist="12700" dir="5400000" algn="ctr">
                <a:srgbClr val="000000"/>
              </a:outerShdw>
              <a:reflection blurRad="6350" stA="50000" endA="300" endPos="55500" dist="1016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FFFFFF"/>
              </a:contourClr>
            </a:sp3d>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25</xdr:row>
          <xdr:rowOff>66675</xdr:rowOff>
        </xdr:from>
        <xdr:to>
          <xdr:col>8</xdr:col>
          <xdr:colOff>609600</xdr:colOff>
          <xdr:row>35</xdr:row>
          <xdr:rowOff>76200</xdr:rowOff>
        </xdr:to>
        <xdr:pic>
          <xdr:nvPicPr>
            <xdr:cNvPr id="5" name="Picture 4">
              <a:extLst>
                <a:ext uri="{FF2B5EF4-FFF2-40B4-BE49-F238E27FC236}">
                  <a16:creationId xmlns:a16="http://schemas.microsoft.com/office/drawing/2014/main" id="{00000000-0008-0000-0A00-000005000000}"/>
                </a:ext>
              </a:extLst>
            </xdr:cNvPr>
            <xdr:cNvPicPr>
              <a:picLocks noChangeAspect="1" noChangeArrowheads="1"/>
              <a:extLst>
                <a:ext uri="{84589F7E-364E-4C9E-8A38-B11213B215E9}">
                  <a14:cameraTool cellRange="$C$26:$C$35" spid="_x0000_s15449"/>
                </a:ext>
              </a:extLst>
            </xdr:cNvPicPr>
          </xdr:nvPicPr>
          <xdr:blipFill>
            <a:blip xmlns:r="http://schemas.openxmlformats.org/officeDocument/2006/relationships" r:embed="rId3"/>
            <a:srcRect/>
            <a:stretch>
              <a:fillRect/>
            </a:stretch>
          </xdr:blipFill>
          <xdr:spPr bwMode="auto">
            <a:xfrm>
              <a:off x="6534150" y="5086350"/>
              <a:ext cx="857250" cy="19145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5</xdr:col>
      <xdr:colOff>314325</xdr:colOff>
      <xdr:row>2</xdr:row>
      <xdr:rowOff>114300</xdr:rowOff>
    </xdr:from>
    <xdr:to>
      <xdr:col>8</xdr:col>
      <xdr:colOff>361950</xdr:colOff>
      <xdr:row>4</xdr:row>
      <xdr:rowOff>104775</xdr:rowOff>
    </xdr:to>
    <xdr:sp macro="" textlink="">
      <xdr:nvSpPr>
        <xdr:cNvPr id="2" name="Rectangle: Rounded Corners 1">
          <a:extLst>
            <a:ext uri="{FF2B5EF4-FFF2-40B4-BE49-F238E27FC236}">
              <a16:creationId xmlns:a16="http://schemas.microsoft.com/office/drawing/2014/main" id="{00000000-0008-0000-0B00-000002000000}"/>
            </a:ext>
          </a:extLst>
        </xdr:cNvPr>
        <xdr:cNvSpPr/>
      </xdr:nvSpPr>
      <xdr:spPr>
        <a:xfrm>
          <a:off x="3362325" y="495300"/>
          <a:ext cx="3171825" cy="390525"/>
        </a:xfrm>
        <a:prstGeom prst="roundRect">
          <a:avLst>
            <a:gd name="adj" fmla="val 50000"/>
          </a:avLst>
        </a:prstGeom>
        <a:solidFill>
          <a:schemeClr val="tx2"/>
        </a:solidFill>
        <a:ln>
          <a:solidFill>
            <a:schemeClr val="tx1"/>
          </a:solidFill>
        </a:ln>
        <a:effectLst>
          <a:glow rad="101600">
            <a:schemeClr val="accent3">
              <a:satMod val="175000"/>
              <a:alpha val="40000"/>
            </a:schemeClr>
          </a:glow>
          <a:outerShdw blurRad="50800" dist="38100" algn="l" rotWithShape="0">
            <a:prstClr val="black">
              <a:alpha val="40000"/>
            </a:prstClr>
          </a:outerShdw>
          <a:reflection blurRad="6350" stA="50000" endA="300" endPos="55500" dist="508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u="sng">
              <a:solidFill>
                <a:schemeClr val="bg1">
                  <a:lumMod val="95000"/>
                </a:schemeClr>
              </a:solidFill>
            </a:rPr>
            <a:t>Sales</a:t>
          </a:r>
          <a:r>
            <a:rPr lang="en-US" sz="1100" b="1" i="1" u="sng" baseline="0">
              <a:solidFill>
                <a:schemeClr val="bg1">
                  <a:lumMod val="95000"/>
                </a:schemeClr>
              </a:solidFill>
            </a:rPr>
            <a:t>  By  Sales Representatives For Each Month</a:t>
          </a:r>
          <a:endParaRPr lang="en-US" sz="1100" b="1" i="1" u="sng">
            <a:solidFill>
              <a:schemeClr val="bg1">
                <a:lumMod val="95000"/>
              </a:schemeClr>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190500</xdr:colOff>
          <xdr:row>4</xdr:row>
          <xdr:rowOff>19050</xdr:rowOff>
        </xdr:from>
        <xdr:to>
          <xdr:col>3</xdr:col>
          <xdr:colOff>495300</xdr:colOff>
          <xdr:row>4</xdr:row>
          <xdr:rowOff>161925</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5</xdr:row>
          <xdr:rowOff>19050</xdr:rowOff>
        </xdr:from>
        <xdr:to>
          <xdr:col>3</xdr:col>
          <xdr:colOff>495300</xdr:colOff>
          <xdr:row>5</xdr:row>
          <xdr:rowOff>161925</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6</xdr:row>
          <xdr:rowOff>19050</xdr:rowOff>
        </xdr:from>
        <xdr:to>
          <xdr:col>3</xdr:col>
          <xdr:colOff>495300</xdr:colOff>
          <xdr:row>6</xdr:row>
          <xdr:rowOff>161925</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7</xdr:row>
          <xdr:rowOff>19050</xdr:rowOff>
        </xdr:from>
        <xdr:to>
          <xdr:col>3</xdr:col>
          <xdr:colOff>495300</xdr:colOff>
          <xdr:row>7</xdr:row>
          <xdr:rowOff>161925</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0C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8</xdr:row>
          <xdr:rowOff>19050</xdr:rowOff>
        </xdr:from>
        <xdr:to>
          <xdr:col>3</xdr:col>
          <xdr:colOff>495300</xdr:colOff>
          <xdr:row>8</xdr:row>
          <xdr:rowOff>161925</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00000000-0008-0000-0C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9</xdr:row>
          <xdr:rowOff>19050</xdr:rowOff>
        </xdr:from>
        <xdr:to>
          <xdr:col>3</xdr:col>
          <xdr:colOff>495300</xdr:colOff>
          <xdr:row>9</xdr:row>
          <xdr:rowOff>161925</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00000000-0008-0000-0C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10</xdr:row>
          <xdr:rowOff>19050</xdr:rowOff>
        </xdr:from>
        <xdr:to>
          <xdr:col>3</xdr:col>
          <xdr:colOff>495300</xdr:colOff>
          <xdr:row>10</xdr:row>
          <xdr:rowOff>161925</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00000000-0008-0000-0C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333374</xdr:colOff>
      <xdr:row>1</xdr:row>
      <xdr:rowOff>66675</xdr:rowOff>
    </xdr:from>
    <xdr:to>
      <xdr:col>18</xdr:col>
      <xdr:colOff>447675</xdr:colOff>
      <xdr:row>14</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190500</xdr:colOff>
          <xdr:row>11</xdr:row>
          <xdr:rowOff>19050</xdr:rowOff>
        </xdr:from>
        <xdr:to>
          <xdr:col>3</xdr:col>
          <xdr:colOff>495300</xdr:colOff>
          <xdr:row>11</xdr:row>
          <xdr:rowOff>161925</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00000000-0008-0000-0C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12</xdr:row>
          <xdr:rowOff>19050</xdr:rowOff>
        </xdr:from>
        <xdr:to>
          <xdr:col>3</xdr:col>
          <xdr:colOff>495300</xdr:colOff>
          <xdr:row>12</xdr:row>
          <xdr:rowOff>161925</xdr:rowOff>
        </xdr:to>
        <xdr:sp macro="" textlink="">
          <xdr:nvSpPr>
            <xdr:cNvPr id="14345" name="Check Box 9" hidden="1">
              <a:extLst>
                <a:ext uri="{63B3BB69-23CF-44E3-9099-C40C66FF867C}">
                  <a14:compatExt spid="_x0000_s14345"/>
                </a:ext>
                <a:ext uri="{FF2B5EF4-FFF2-40B4-BE49-F238E27FC236}">
                  <a16:creationId xmlns:a16="http://schemas.microsoft.com/office/drawing/2014/main" id="{00000000-0008-0000-0C00-00000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8</xdr:col>
      <xdr:colOff>456141</xdr:colOff>
      <xdr:row>1</xdr:row>
      <xdr:rowOff>45509</xdr:rowOff>
    </xdr:from>
    <xdr:to>
      <xdr:col>13</xdr:col>
      <xdr:colOff>599015</xdr:colOff>
      <xdr:row>7</xdr:row>
      <xdr:rowOff>16934</xdr:rowOff>
    </xdr:to>
    <mc:AlternateContent xmlns:mc="http://schemas.openxmlformats.org/markup-compatibility/2006" xmlns:a14="http://schemas.microsoft.com/office/drawing/2010/main">
      <mc:Choice Requires="a14">
        <xdr:graphicFrame macro="">
          <xdr:nvGraphicFramePr>
            <xdr:cNvPr id="2" name="Customer Name">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8838141" y="236009"/>
              <a:ext cx="3212041"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466724</xdr:colOff>
      <xdr:row>7</xdr:row>
      <xdr:rowOff>28575</xdr:rowOff>
    </xdr:from>
    <xdr:to>
      <xdr:col>13</xdr:col>
      <xdr:colOff>609598</xdr:colOff>
      <xdr:row>13</xdr:row>
      <xdr:rowOff>0</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8848724" y="1362075"/>
              <a:ext cx="3212041"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457199</xdr:colOff>
      <xdr:row>13</xdr:row>
      <xdr:rowOff>9526</xdr:rowOff>
    </xdr:from>
    <xdr:to>
      <xdr:col>13</xdr:col>
      <xdr:colOff>600073</xdr:colOff>
      <xdr:row>18</xdr:row>
      <xdr:rowOff>38100</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839199" y="2486026"/>
              <a:ext cx="3212041" cy="9810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323850</xdr:colOff>
          <xdr:row>3</xdr:row>
          <xdr:rowOff>95250</xdr:rowOff>
        </xdr:from>
        <xdr:to>
          <xdr:col>4</xdr:col>
          <xdr:colOff>609600</xdr:colOff>
          <xdr:row>3</xdr:row>
          <xdr:rowOff>295275</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15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xdr:row>
          <xdr:rowOff>95250</xdr:rowOff>
        </xdr:from>
        <xdr:to>
          <xdr:col>4</xdr:col>
          <xdr:colOff>609600</xdr:colOff>
          <xdr:row>4</xdr:row>
          <xdr:rowOff>295275</xdr:rowOff>
        </xdr:to>
        <xdr:sp macro="" textlink="">
          <xdr:nvSpPr>
            <xdr:cNvPr id="23564" name="Check Box 12" hidden="1">
              <a:extLst>
                <a:ext uri="{63B3BB69-23CF-44E3-9099-C40C66FF867C}">
                  <a14:compatExt spid="_x0000_s23564"/>
                </a:ext>
                <a:ext uri="{FF2B5EF4-FFF2-40B4-BE49-F238E27FC236}">
                  <a16:creationId xmlns:a16="http://schemas.microsoft.com/office/drawing/2014/main" id="{00000000-0008-0000-15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5</xdr:row>
          <xdr:rowOff>95250</xdr:rowOff>
        </xdr:from>
        <xdr:to>
          <xdr:col>4</xdr:col>
          <xdr:colOff>609600</xdr:colOff>
          <xdr:row>5</xdr:row>
          <xdr:rowOff>295275</xdr:rowOff>
        </xdr:to>
        <xdr:sp macro="" textlink="">
          <xdr:nvSpPr>
            <xdr:cNvPr id="23565" name="Check Box 13" hidden="1">
              <a:extLst>
                <a:ext uri="{63B3BB69-23CF-44E3-9099-C40C66FF867C}">
                  <a14:compatExt spid="_x0000_s23565"/>
                </a:ext>
                <a:ext uri="{FF2B5EF4-FFF2-40B4-BE49-F238E27FC236}">
                  <a16:creationId xmlns:a16="http://schemas.microsoft.com/office/drawing/2014/main" id="{00000000-0008-0000-1500-00000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6</xdr:row>
          <xdr:rowOff>95250</xdr:rowOff>
        </xdr:from>
        <xdr:to>
          <xdr:col>4</xdr:col>
          <xdr:colOff>609600</xdr:colOff>
          <xdr:row>6</xdr:row>
          <xdr:rowOff>295275</xdr:rowOff>
        </xdr:to>
        <xdr:sp macro="" textlink="">
          <xdr:nvSpPr>
            <xdr:cNvPr id="23566" name="Check Box 14" hidden="1">
              <a:extLst>
                <a:ext uri="{63B3BB69-23CF-44E3-9099-C40C66FF867C}">
                  <a14:compatExt spid="_x0000_s23566"/>
                </a:ext>
                <a:ext uri="{FF2B5EF4-FFF2-40B4-BE49-F238E27FC236}">
                  <a16:creationId xmlns:a16="http://schemas.microsoft.com/office/drawing/2014/main" id="{00000000-0008-0000-15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7</xdr:row>
          <xdr:rowOff>381000</xdr:rowOff>
        </xdr:from>
        <xdr:to>
          <xdr:col>4</xdr:col>
          <xdr:colOff>590550</xdr:colOff>
          <xdr:row>8</xdr:row>
          <xdr:rowOff>190500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15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295275</xdr:colOff>
          <xdr:row>7</xdr:row>
          <xdr:rowOff>85725</xdr:rowOff>
        </xdr:from>
        <xdr:to>
          <xdr:col>4</xdr:col>
          <xdr:colOff>581025</xdr:colOff>
          <xdr:row>7</xdr:row>
          <xdr:rowOff>285750</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15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10</xdr:row>
          <xdr:rowOff>95250</xdr:rowOff>
        </xdr:from>
        <xdr:to>
          <xdr:col>4</xdr:col>
          <xdr:colOff>609600</xdr:colOff>
          <xdr:row>10</xdr:row>
          <xdr:rowOff>295275</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15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11</xdr:row>
          <xdr:rowOff>95250</xdr:rowOff>
        </xdr:from>
        <xdr:to>
          <xdr:col>4</xdr:col>
          <xdr:colOff>609600</xdr:colOff>
          <xdr:row>11</xdr:row>
          <xdr:rowOff>285750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15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12</xdr:row>
          <xdr:rowOff>95250</xdr:rowOff>
        </xdr:from>
        <xdr:to>
          <xdr:col>4</xdr:col>
          <xdr:colOff>609600</xdr:colOff>
          <xdr:row>12</xdr:row>
          <xdr:rowOff>295275</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15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13</xdr:row>
          <xdr:rowOff>95250</xdr:rowOff>
        </xdr:from>
        <xdr:to>
          <xdr:col>4</xdr:col>
          <xdr:colOff>609600</xdr:colOff>
          <xdr:row>13</xdr:row>
          <xdr:rowOff>295275</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15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9</xdr:row>
          <xdr:rowOff>104775</xdr:rowOff>
        </xdr:from>
        <xdr:to>
          <xdr:col>4</xdr:col>
          <xdr:colOff>609600</xdr:colOff>
          <xdr:row>9</xdr:row>
          <xdr:rowOff>304800</xdr:rowOff>
        </xdr:to>
        <xdr:sp macro="" textlink="">
          <xdr:nvSpPr>
            <xdr:cNvPr id="23573" name="Check Box 21" hidden="1">
              <a:extLst>
                <a:ext uri="{63B3BB69-23CF-44E3-9099-C40C66FF867C}">
                  <a14:compatExt spid="_x0000_s23573"/>
                </a:ext>
                <a:ext uri="{FF2B5EF4-FFF2-40B4-BE49-F238E27FC236}">
                  <a16:creationId xmlns:a16="http://schemas.microsoft.com/office/drawing/2014/main" id="{00000000-0008-0000-15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104775</xdr:colOff>
      <xdr:row>22</xdr:row>
      <xdr:rowOff>19050</xdr:rowOff>
    </xdr:from>
    <xdr:to>
      <xdr:col>19</xdr:col>
      <xdr:colOff>66675</xdr:colOff>
      <xdr:row>25</xdr:row>
      <xdr:rowOff>66675</xdr:rowOff>
    </xdr:to>
    <xdr:sp macro="[0]!SeparateWordsNumbers" textlink="">
      <xdr:nvSpPr>
        <xdr:cNvPr id="2" name="Rectangle: Rounded Corners 1">
          <a:extLst>
            <a:ext uri="{FF2B5EF4-FFF2-40B4-BE49-F238E27FC236}">
              <a16:creationId xmlns:a16="http://schemas.microsoft.com/office/drawing/2014/main" id="{00000000-0008-0000-1500-000002000000}"/>
            </a:ext>
          </a:extLst>
        </xdr:cNvPr>
        <xdr:cNvSpPr/>
      </xdr:nvSpPr>
      <xdr:spPr>
        <a:xfrm>
          <a:off x="10829925" y="6686550"/>
          <a:ext cx="1181100" cy="619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333375</xdr:colOff>
      <xdr:row>1</xdr:row>
      <xdr:rowOff>104775</xdr:rowOff>
    </xdr:from>
    <xdr:to>
      <xdr:col>11</xdr:col>
      <xdr:colOff>514350</xdr:colOff>
      <xdr:row>4</xdr:row>
      <xdr:rowOff>114300</xdr:rowOff>
    </xdr:to>
    <xdr:sp macro="" textlink="">
      <xdr:nvSpPr>
        <xdr:cNvPr id="2" name="Rectangle: Rounded Corners 1">
          <a:extLst>
            <a:ext uri="{FF2B5EF4-FFF2-40B4-BE49-F238E27FC236}">
              <a16:creationId xmlns:a16="http://schemas.microsoft.com/office/drawing/2014/main" id="{88CCB2CE-4379-4459-AEB5-E40374410665}"/>
            </a:ext>
          </a:extLst>
        </xdr:cNvPr>
        <xdr:cNvSpPr/>
      </xdr:nvSpPr>
      <xdr:spPr>
        <a:xfrm>
          <a:off x="5819775" y="323850"/>
          <a:ext cx="1400175" cy="581025"/>
        </a:xfrm>
        <a:prstGeom prst="roundRect">
          <a:avLst/>
        </a:prstGeom>
        <a:solidFill>
          <a:schemeClr val="accent4">
            <a:lumMod val="20000"/>
            <a:lumOff val="80000"/>
          </a:schemeClr>
        </a:solidFill>
        <a:ln w="28575">
          <a:solidFill>
            <a:srgbClr val="FF0000"/>
          </a:solidFill>
        </a:ln>
        <a:effectLst>
          <a:glow rad="101600">
            <a:schemeClr val="accent2">
              <a:satMod val="175000"/>
              <a:alpha val="40000"/>
            </a:schemeClr>
          </a:glow>
          <a:outerShdw blurRad="50800" dist="38100" algn="l" rotWithShape="0">
            <a:prstClr val="black">
              <a:alpha val="40000"/>
            </a:prstClr>
          </a:outerShdw>
          <a:reflection blurRad="6350" stA="50000" endA="275" endPos="40000" dist="1016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155.709359953704" backgroundQuery="1" createdVersion="6" refreshedVersion="6" minRefreshableVersion="3" recordCount="0" supportSubquery="1" supportAdvancedDrill="1" xr:uid="{9090A481-2DC4-4C65-8907-BAF53533106C}">
  <cacheSource type="external" connectionId="7"/>
  <cacheFields count="3">
    <cacheField name="[customer_data].[Customer Name].[Customer Name]" caption="Customer Name" numFmtId="0" hierarchy="1" level="1">
      <sharedItems count="6">
        <s v="Anuj Enterprises"/>
        <s v="Dev Retail Venture"/>
        <s v="Garvit Garments"/>
        <s v="Pankaj Traders"/>
        <s v="Satya Enterprises"/>
        <s v="Vaibhav Sales"/>
      </sharedItems>
    </cacheField>
    <cacheField name="[Sales_Data].[Product].[Product]" caption="Product" numFmtId="0" hierarchy="5" level="1">
      <sharedItems count="25">
        <s v="Bib-Shorts"/>
        <s v="Bike Racks"/>
        <s v="Bottom Brackets"/>
        <s v="Brakes"/>
        <s v="Caps"/>
        <s v="Cargo Bike"/>
        <s v="Chains"/>
        <s v="Gloves"/>
        <s v="Handlebars"/>
        <s v="Helmets"/>
        <s v="Jerseys"/>
        <s v="Lights"/>
        <s v="Locks"/>
        <s v="Mountain Bikes"/>
        <s v="Pedals"/>
        <s v="Pumps"/>
        <s v="Road Bikes"/>
        <s v="Saddles"/>
        <s v="Shorts"/>
        <s v="Socks"/>
        <s v="Tights"/>
        <s v="Tires and Tubes"/>
        <s v="Touring Bikes"/>
        <s v="Vests"/>
        <s v="Wheels"/>
      </sharedItems>
    </cacheField>
    <cacheField name="[Measures].[Sum of Sales]" caption="Sum of Sales" numFmtId="0" hierarchy="12" level="32767"/>
  </cacheFields>
  <cacheHierarchies count="13">
    <cacheHierarchy uniqueName="[customer_data].[Customer ID]" caption="Customer ID" attribute="1" defaultMemberUniqueName="[customer_data].[Customer ID].[All]" allUniqueName="[customer_data].[Customer ID].[All]" dimensionUniqueName="[customer_data]" displayFolder="" count="2" memberValueDatatype="2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0"/>
      </fieldsUsage>
    </cacheHierarchy>
    <cacheHierarchy uniqueName="[Sales_Data].[Year]" caption="Year" attribute="1" defaultMemberUniqueName="[Sales_Data].[Year].[All]" allUniqueName="[Sales_Data].[Year].[All]" dimensionUniqueName="[Sales_Data]" displayFolder="" count="2" memberValueDatatype="20" unbalanced="0"/>
    <cacheHierarchy uniqueName="[Sales_Data].[Customer ID]" caption="Customer ID" attribute="1" defaultMemberUniqueName="[Sales_Data].[Customer ID].[All]" allUniqueName="[Sales_Data].[Customer ID].[All]" dimensionUniqueName="[Sales_Data]" displayFolder="" count="2" memberValueDatatype="20" unbalanced="0"/>
    <cacheHierarchy uniqueName="[Sales_Data].[Category]" caption="Category" attribute="1" defaultMemberUniqueName="[Sales_Data].[Category].[All]" allUniqueName="[Sales_Data].[Category].[All]" dimensionUniqueName="[Sales_Data]" displayFolder="" count="2" memberValueDatatype="130" unbalanced="0"/>
    <cacheHierarchy uniqueName="[Sales_Data].[Product]" caption="Product" attribute="1" defaultMemberUniqueName="[Sales_Data].[Product].[All]" allUniqueName="[Sales_Data].[Product].[All]" dimensionUniqueName="[Sales_Data]" displayFolder="" count="2" memberValueDatatype="130" unbalanced="0">
      <fieldsUsage count="2">
        <fieldUsage x="-1"/>
        <fieldUsage x="1"/>
      </fieldsUsage>
    </cacheHierarchy>
    <cacheHierarchy uniqueName="[Sales_Data].[Sales]" caption="Sales" attribute="1" defaultMemberUniqueName="[Sales_Data].[Sales].[All]" allUniqueName="[Sales_Data].[Sales].[All]" dimensionUniqueName="[Sales_Data]" displayFolder="" count="2" memberValueDatatype="20" unbalanced="0"/>
    <cacheHierarchy uniqueName="[Sales_Data].[Rating]" caption="Rating" attribute="1" defaultMemberUniqueName="[Sales_Data].[Rating].[All]" allUniqueName="[Sales_Data].[Rating].[All]" dimensionUniqueName="[Sales_Data]" displayFolder="" count="2" memberValueDatatype="5" unbalanced="0"/>
    <cacheHierarchy uniqueName="[Measures].[__XL_Count customer_data]" caption="__XL_Count customer_data" measure="1" displayFolder="" measureGroup="customer_data"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Year]" caption="Sum of Year" measure="1" displayFolder="" measureGroup="Sales_Data"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ales_Data" count="0" oneField="1" hidden="1">
      <fieldsUsage count="1">
        <fieldUsage x="2"/>
      </fieldsUsage>
      <extLst>
        <ext xmlns:x15="http://schemas.microsoft.com/office/spreadsheetml/2010/11/main" uri="{B97F6D7D-B522-45F9-BDA1-12C45D357490}">
          <x15:cacheHierarchy aggregatedColumn="6"/>
        </ext>
      </extLst>
    </cacheHierarchy>
  </cacheHierarchies>
  <kpis count="0"/>
  <dimensions count="3">
    <dimension name="customer_data" uniqueName="[customer_data]" caption="customer_data"/>
    <dimension measure="1" name="Measures" uniqueName="[Measures]" caption="Measures"/>
    <dimension name="Sales_Data" uniqueName="[Sales_Data]" caption="Sales_Data"/>
  </dimensions>
  <measureGroups count="2">
    <measureGroup name="customer_data" caption="customer_data"/>
    <measureGroup name="Sales_Data" caption="Sales_Data"/>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5155.699482870368" backgroundQuery="1" createdVersion="3" refreshedVersion="6" minRefreshableVersion="3" recordCount="0" supportSubquery="1" supportAdvancedDrill="1" xr:uid="{D5C4BB4A-BE6B-46BF-8DAF-11644D5F0B6C}">
  <cacheSource type="external" connectionId="7">
    <extLst>
      <ext xmlns:x14="http://schemas.microsoft.com/office/spreadsheetml/2009/9/main" uri="{F057638F-6D5F-4e77-A914-E7F072B9BCA8}">
        <x14:sourceConnection name="ThisWorkbookDataModel"/>
      </ext>
    </extLst>
  </cacheSource>
  <cacheFields count="0"/>
  <cacheHierarchies count="13">
    <cacheHierarchy uniqueName="[customer_data].[Customer ID]" caption="Customer ID" attribute="1" defaultMemberUniqueName="[customer_data].[Customer ID].[All]" allUniqueName="[customer_data].[Customer ID].[All]" dimensionUniqueName="[customer_data]" displayFolder="" count="0" memberValueDatatype="2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cacheHierarchy uniqueName="[Sales_Data].[Year]" caption="Year" attribute="1" defaultMemberUniqueName="[Sales_Data].[Year].[All]" allUniqueName="[Sales_Data].[Year].[All]" dimensionUniqueName="[Sales_Data]" displayFolder="" count="2" memberValueDatatype="20" unbalanced="0"/>
    <cacheHierarchy uniqueName="[Sales_Data].[Customer ID]" caption="Customer ID" attribute="1" defaultMemberUniqueName="[Sales_Data].[Customer ID].[All]" allUniqueName="[Sales_Data].[Customer ID].[All]" dimensionUniqueName="[Sales_Data]" displayFolder="" count="0" memberValueDatatype="20" unbalanced="0"/>
    <cacheHierarchy uniqueName="[Sales_Data].[Category]" caption="Category" attribute="1" defaultMemberUniqueName="[Sales_Data].[Category].[All]" allUniqueName="[Sales_Data].[Category].[All]" dimensionUniqueName="[Sales_Data]" displayFolder="" count="0" memberValueDatatype="130" unbalanced="0"/>
    <cacheHierarchy uniqueName="[Sales_Data].[Product]" caption="Product" attribute="1" defaultMemberUniqueName="[Sales_Data].[Product].[All]" allUniqueName="[Sales_Data].[Product].[All]" dimensionUniqueName="[Sales_Data]" displayFolder="" count="2" memberValueDatatype="130" unbalanced="0"/>
    <cacheHierarchy uniqueName="[Sales_Data].[Sales]" caption="Sales" attribute="1" defaultMemberUniqueName="[Sales_Data].[Sales].[All]" allUniqueName="[Sales_Data].[Sales].[All]" dimensionUniqueName="[Sales_Data]" displayFolder="" count="0" memberValueDatatype="20" unbalanced="0"/>
    <cacheHierarchy uniqueName="[Sales_Data].[Rating]" caption="Rating" attribute="1" defaultMemberUniqueName="[Sales_Data].[Rating].[All]" allUniqueName="[Sales_Data].[Rating].[All]" dimensionUniqueName="[Sales_Data]" displayFolder="" count="0" memberValueDatatype="5" unbalanced="0"/>
    <cacheHierarchy uniqueName="[Measures].[__XL_Count customer_data]" caption="__XL_Count customer_data" measure="1" displayFolder="" measureGroup="customer_data"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Year]" caption="Sum of Year" measure="1" displayFolder="" measureGroup="Sales_Data"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ales_Data"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97156559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00FB2A-D4DD-4968-A375-F34C28182875}"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Product" colHeaderCaption="Customer Name">
  <location ref="A6:H33" firstHeaderRow="1" firstDataRow="2" firstDataCol="1"/>
  <pivotFields count="3">
    <pivotField axis="axisCol" allDrilled="1" subtotalTop="0" showAll="0" dataSourceSort="1" defaultSubtotal="0" defaultAttributeDrillState="1">
      <items count="6">
        <item x="0"/>
        <item x="1"/>
        <item x="2"/>
        <item x="3"/>
        <item x="4"/>
        <item x="5"/>
      </items>
    </pivotField>
    <pivotField axis="axisRow" allDrilled="1" subtotalTop="0" showAll="0"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2">
            <reference field="4294967294" count="1" selected="0">
              <x v="0"/>
            </reference>
            <reference field="0" count="1" selected="0">
              <x v="0"/>
            </reference>
          </references>
        </pivotArea>
      </autoSortScope>
    </pivotField>
    <pivotField dataField="1" subtotalTop="0" showAll="0" defaultSubtotal="0"/>
  </pivotFields>
  <rowFields count="1">
    <field x="1"/>
  </rowFields>
  <rowItems count="26">
    <i>
      <x v="24"/>
    </i>
    <i>
      <x/>
    </i>
    <i>
      <x v="2"/>
    </i>
    <i>
      <x v="22"/>
    </i>
    <i>
      <x v="14"/>
    </i>
    <i>
      <x v="4"/>
    </i>
    <i>
      <x v="15"/>
    </i>
    <i>
      <x v="9"/>
    </i>
    <i>
      <x v="16"/>
    </i>
    <i>
      <x v="3"/>
    </i>
    <i>
      <x v="18"/>
    </i>
    <i>
      <x v="23"/>
    </i>
    <i>
      <x v="19"/>
    </i>
    <i>
      <x v="6"/>
    </i>
    <i>
      <x v="21"/>
    </i>
    <i>
      <x v="1"/>
    </i>
    <i>
      <x v="17"/>
    </i>
    <i>
      <x v="13"/>
    </i>
    <i>
      <x v="5"/>
    </i>
    <i>
      <x v="20"/>
    </i>
    <i>
      <x v="8"/>
    </i>
    <i>
      <x v="10"/>
    </i>
    <i>
      <x v="11"/>
    </i>
    <i>
      <x v="7"/>
    </i>
    <i>
      <x v="12"/>
    </i>
    <i t="grand">
      <x/>
    </i>
  </rowItems>
  <colFields count="1">
    <field x="0"/>
  </colFields>
  <colItems count="7">
    <i>
      <x/>
    </i>
    <i>
      <x v="1"/>
    </i>
    <i>
      <x v="2"/>
    </i>
    <i>
      <x v="3"/>
    </i>
    <i>
      <x v="4"/>
    </i>
    <i>
      <x v="5"/>
    </i>
    <i t="grand">
      <x/>
    </i>
  </colItems>
  <dataFields count="1">
    <dataField name="Sales" fld="2" baseField="0" baseItem="0" numFmtId="164"/>
  </dataFields>
  <formats count="34">
    <format dxfId="76">
      <pivotArea grandRow="1" outline="0" collapsedLevelsAreSubtotals="1" fieldPosition="0"/>
    </format>
    <format dxfId="75">
      <pivotArea type="all" dataOnly="0" outline="0" fieldPosition="0"/>
    </format>
    <format dxfId="74">
      <pivotArea outline="0" collapsedLevelsAreSubtotals="1" fieldPosition="0"/>
    </format>
    <format dxfId="73">
      <pivotArea type="origin" dataOnly="0" labelOnly="1" outline="0" fieldPosition="0"/>
    </format>
    <format dxfId="72">
      <pivotArea field="0" type="button" dataOnly="0" labelOnly="1" outline="0" axis="axisCol" fieldPosition="0"/>
    </format>
    <format dxfId="71">
      <pivotArea type="topRight" dataOnly="0" labelOnly="1" outline="0" fieldPosition="0"/>
    </format>
    <format dxfId="70">
      <pivotArea dataOnly="0" labelOnly="1" grandRow="1" outline="0" fieldPosition="0"/>
    </format>
    <format dxfId="69">
      <pivotArea dataOnly="0" labelOnly="1" fieldPosition="0">
        <references count="1">
          <reference field="0" count="0"/>
        </references>
      </pivotArea>
    </format>
    <format dxfId="68">
      <pivotArea dataOnly="0" labelOnly="1" grandCol="1" outline="0" fieldPosition="0"/>
    </format>
    <format dxfId="67">
      <pivotArea type="all" dataOnly="0" outline="0" fieldPosition="0"/>
    </format>
    <format dxfId="66">
      <pivotArea outline="0" collapsedLevelsAreSubtotals="1" fieldPosition="0"/>
    </format>
    <format dxfId="65">
      <pivotArea type="origin" dataOnly="0" labelOnly="1" outline="0" fieldPosition="0"/>
    </format>
    <format dxfId="64">
      <pivotArea field="0" type="button" dataOnly="0" labelOnly="1" outline="0" axis="axisCol" fieldPosition="0"/>
    </format>
    <format dxfId="63">
      <pivotArea type="topRight" dataOnly="0" labelOnly="1" outline="0" fieldPosition="0"/>
    </format>
    <format dxfId="62">
      <pivotArea dataOnly="0" labelOnly="1" grandRow="1" outline="0" fieldPosition="0"/>
    </format>
    <format dxfId="61">
      <pivotArea dataOnly="0" labelOnly="1" fieldPosition="0">
        <references count="1">
          <reference field="0" count="0"/>
        </references>
      </pivotArea>
    </format>
    <format dxfId="60">
      <pivotArea dataOnly="0" labelOnly="1" grandCol="1" outline="0" fieldPosition="0"/>
    </format>
    <format dxfId="59">
      <pivotArea type="all" dataOnly="0" outline="0" fieldPosition="0"/>
    </format>
    <format dxfId="58">
      <pivotArea outline="0" collapsedLevelsAreSubtotals="1" fieldPosition="0"/>
    </format>
    <format dxfId="57">
      <pivotArea type="origin" dataOnly="0" labelOnly="1" outline="0" fieldPosition="0"/>
    </format>
    <format dxfId="56">
      <pivotArea field="0" type="button" dataOnly="0" labelOnly="1" outline="0" axis="axisCol" fieldPosition="0"/>
    </format>
    <format dxfId="55">
      <pivotArea type="topRight" dataOnly="0" labelOnly="1" outline="0" fieldPosition="0"/>
    </format>
    <format dxfId="54">
      <pivotArea dataOnly="0" labelOnly="1" grandRow="1" outline="0" fieldPosition="0"/>
    </format>
    <format dxfId="53">
      <pivotArea dataOnly="0" labelOnly="1" fieldPosition="0">
        <references count="1">
          <reference field="0" count="0"/>
        </references>
      </pivotArea>
    </format>
    <format dxfId="52">
      <pivotArea dataOnly="0" labelOnly="1" grandCol="1" outline="0" fieldPosition="0"/>
    </format>
    <format dxfId="51">
      <pivotArea type="all" dataOnly="0" outline="0" fieldPosition="0"/>
    </format>
    <format dxfId="50">
      <pivotArea outline="0" collapsedLevelsAreSubtotals="1" fieldPosition="0"/>
    </format>
    <format dxfId="49">
      <pivotArea type="origin" dataOnly="0" labelOnly="1" outline="0" fieldPosition="0"/>
    </format>
    <format dxfId="48">
      <pivotArea field="0" type="button" dataOnly="0" labelOnly="1" outline="0" axis="axisCol" fieldPosition="0"/>
    </format>
    <format dxfId="47">
      <pivotArea type="topRight" dataOnly="0" labelOnly="1" outline="0" fieldPosition="0"/>
    </format>
    <format dxfId="46">
      <pivotArea dataOnly="0" labelOnly="1" grandRow="1" outline="0" fieldPosition="0"/>
    </format>
    <format dxfId="45">
      <pivotArea dataOnly="0" labelOnly="1" fieldPosition="0">
        <references count="1">
          <reference field="0" count="0"/>
        </references>
      </pivotArea>
    </format>
    <format dxfId="44">
      <pivotArea dataOnly="0" labelOnly="1" grandCol="1" outline="0" fieldPosition="0"/>
    </format>
    <format dxfId="43">
      <pivotArea outline="0" collapsedLevelsAreSubtotals="1" fieldPosition="0"/>
    </format>
  </formats>
  <pivotHierarchies count="13">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Sales"/>
  </pivotHierarchies>
  <pivotTableStyleInfo name="PivotStyleMedium7" showRowHeaders="1" showColHeaders="1" showRowStripes="0" showColStripes="0" showLastColumn="1"/>
  <rowHierarchiesUsage count="1">
    <rowHierarchyUsage hierarchyUsage="5"/>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750CA9-0B9F-4621-B7AE-6547AEF503CE}" autoFormatId="16" applyNumberFormats="0" applyBorderFormats="0" applyFontFormats="0" applyPatternFormats="0" applyAlignmentFormats="0" applyWidthHeightFormats="0">
  <queryTableRefresh nextId="7" unboundColumnsRight="5">
    <queryTableFields count="6">
      <queryTableField id="1" name="Customer Name" tableColumnId="1"/>
      <queryTableField id="2" dataBound="0" tableColumnId="2"/>
      <queryTableField id="6" dataBound="0" tableColumnId="6"/>
      <queryTableField id="3" dataBound="0" tableColumnId="3"/>
      <queryTableField id="4" dataBound="0" tableColumnId="4"/>
      <queryTableField id="5" dataBound="0"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83163CAD-11ED-432B-A64A-F05DBD783B1E}" sourceName="[customer_data].[Customer Name]">
  <pivotTables>
    <pivotTable tabId="22" name="PivotTable1"/>
  </pivotTables>
  <data>
    <olap pivotCacheId="971565590">
      <levels count="2">
        <level uniqueName="[customer_data].[Customer Name].[(All)]" sourceCaption="(All)" count="0"/>
        <level uniqueName="[customer_data].[Customer Name].[Customer Name]" sourceCaption="Customer Name" count="6">
          <ranges>
            <range startItem="0">
              <i n="[customer_data].[Customer Name].&amp;[Anuj Enterprises]" c="Anuj Enterprises"/>
              <i n="[customer_data].[Customer Name].&amp;[Dev Retail Venture]" c="Dev Retail Venture"/>
              <i n="[customer_data].[Customer Name].&amp;[Garvit Garments]" c="Garvit Garments"/>
              <i n="[customer_data].[Customer Name].&amp;[Pankaj Traders]" c="Pankaj Traders"/>
              <i n="[customer_data].[Customer Name].&amp;[Satya Enterprises]" c="Satya Enterprises"/>
              <i n="[customer_data].[Customer Name].&amp;[Vaibhav Sales]" c="Vaibhav Sales"/>
            </range>
          </ranges>
        </level>
      </levels>
      <selections count="1">
        <selection n="[customer_data].[Customer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DF073FEB-3E91-4900-B5CE-06940EA494BA}" sourceName="[Sales_Data].[Product]">
  <pivotTables>
    <pivotTable tabId="22" name="PivotTable1"/>
  </pivotTables>
  <data>
    <olap pivotCacheId="971565590">
      <levels count="2">
        <level uniqueName="[Sales_Data].[Product].[(All)]" sourceCaption="(All)" count="0"/>
        <level uniqueName="[Sales_Data].[Product].[Product]" sourceCaption="Product" count="25">
          <ranges>
            <range startItem="0">
              <i n="[Sales_Data].[Product].&amp;[Bib-Shorts]" c="Bib-Shorts"/>
              <i n="[Sales_Data].[Product].&amp;[Bike Racks]" c="Bike Racks"/>
              <i n="[Sales_Data].[Product].&amp;[Bottom Brackets]" c="Bottom Brackets"/>
              <i n="[Sales_Data].[Product].&amp;[Brakes]" c="Brakes"/>
              <i n="[Sales_Data].[Product].&amp;[Caps]" c="Caps"/>
              <i n="[Sales_Data].[Product].&amp;[Cargo Bike]" c="Cargo Bike"/>
              <i n="[Sales_Data].[Product].&amp;[Chains]" c="Chains"/>
              <i n="[Sales_Data].[Product].&amp;[Gloves]" c="Gloves"/>
              <i n="[Sales_Data].[Product].&amp;[Handlebars]" c="Handlebars"/>
              <i n="[Sales_Data].[Product].&amp;[Helmets]" c="Helmets"/>
              <i n="[Sales_Data].[Product].&amp;[Jerseys]" c="Jerseys"/>
              <i n="[Sales_Data].[Product].&amp;[Lights]" c="Lights"/>
              <i n="[Sales_Data].[Product].&amp;[Locks]" c="Locks"/>
              <i n="[Sales_Data].[Product].&amp;[Mountain Bikes]" c="Mountain Bikes"/>
              <i n="[Sales_Data].[Product].&amp;[Pedals]" c="Pedals"/>
              <i n="[Sales_Data].[Product].&amp;[Pumps]" c="Pumps"/>
              <i n="[Sales_Data].[Product].&amp;[Road Bikes]" c="Road Bikes"/>
              <i n="[Sales_Data].[Product].&amp;[Saddles]" c="Saddles"/>
              <i n="[Sales_Data].[Product].&amp;[Shorts]" c="Shorts"/>
              <i n="[Sales_Data].[Product].&amp;[Socks]" c="Socks"/>
              <i n="[Sales_Data].[Product].&amp;[Tights]" c="Tights"/>
              <i n="[Sales_Data].[Product].&amp;[Tires and Tubes]" c="Tires and Tubes"/>
              <i n="[Sales_Data].[Product].&amp;[Touring Bikes]" c="Touring Bikes"/>
              <i n="[Sales_Data].[Product].&amp;[Vests]" c="Vests"/>
              <i n="[Sales_Data].[Product].&amp;[Wheels]" c="Wheels"/>
            </range>
          </ranges>
        </level>
      </levels>
      <selections count="1">
        <selection n="[Sales_Data].[Produc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D438314-80FA-42C1-BE48-8FDB99CB4AFC}" sourceName="[Sales_Data].[Year]">
  <pivotTables>
    <pivotTable tabId="22" name="PivotTable1"/>
  </pivotTables>
  <data>
    <olap pivotCacheId="971565590">
      <levels count="2">
        <level uniqueName="[Sales_Data].[Year].[(All)]" sourceCaption="(All)" count="0"/>
        <level uniqueName="[Sales_Data].[Year].[Year]" sourceCaption="Year" count="3">
          <ranges>
            <range startItem="0">
              <i n="[Sales_Data].[Year].&amp;[2015]" c="2015"/>
              <i n="[Sales_Data].[Year].&amp;[2016]" c="2016"/>
              <i n="[Sales_Data].[Year].&amp;[2017]" c="2017"/>
            </range>
          </ranges>
        </level>
      </levels>
      <selections count="1">
        <selection n="[Sales_Data].[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Name" xr10:uid="{7A33CB93-942C-43D6-BAF5-D01E520E2F08}" cache="Slicer_Customer_Name" caption="Customer Name" columnCount="2" level="1" style="SlicerStyleDark2" rowHeight="241300"/>
  <slicer name="Product" xr10:uid="{F4990A1A-5EF1-48BE-AFB3-1A5A17D0400A}" cache="Slicer_Product" caption="Product" columnCount="3" level="1" style="SlicerStyleLight4" rowHeight="241300"/>
  <slicer name="Year" xr10:uid="{F43CA88A-AA50-4F25-9297-B3ECC9873CF4}" cache="Slicer_Year" caption="Year" columnCount="2" level="1" style="SlicerStyleLight6"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8E29DC-E813-49BD-9F0B-3460C2FCA41F}" name="Table1" displayName="Table1" ref="A1:F2005" totalsRowShown="0" headerRowDxfId="197" dataDxfId="195" headerRowBorderDxfId="196" tableBorderDxfId="194" totalsRowBorderDxfId="193">
  <tableColumns count="6">
    <tableColumn id="1" xr3:uid="{0025DCBA-05A9-4A1A-BA7B-0F1D3AC7779B}" name="S.No." dataDxfId="192"/>
    <tableColumn id="2" xr3:uid="{A4386AF6-4F18-41C8-8E8A-37EB9D2199EA}" name="Customer Name" dataDxfId="191"/>
    <tableColumn id="3" xr3:uid="{51753522-76B0-4A4E-8B5A-F2CC078AD5E2}" name="Invoice No" dataDxfId="190"/>
    <tableColumn id="4" xr3:uid="{8C84E63A-E46F-434D-9D1A-89C410009BC9}" name="Invoice Date" dataDxfId="189"/>
    <tableColumn id="5" xr3:uid="{740E8BCD-8405-40B9-A9F6-1D86437217B6}" name="Amount" dataDxfId="188"/>
    <tableColumn id="6" xr3:uid="{BC75DB90-C540-4233-88DE-D301F74B2E74}" name="Status" dataDxfId="18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8C7711-D731-497D-ABEF-56ABA3491446}" name="CUSTOMER_PAYMENT_LIST" displayName="CUSTOMER_PAYMENT_LIST" ref="I7:N21" tableType="queryTable" totalsRowCount="1" headerRowDxfId="186" dataDxfId="184" headerRowBorderDxfId="185" tableBorderDxfId="183" totalsRowBorderDxfId="182">
  <tableColumns count="6">
    <tableColumn id="1" xr3:uid="{4A860E62-7826-45A9-831A-89048E437A48}" uniqueName="1" name="Customer Name" totalsRowLabel="Total" queryTableFieldId="1" dataDxfId="181" totalsRowDxfId="180"/>
    <tableColumn id="2" xr3:uid="{DC6327E6-97F8-4699-B90C-59C227F9D3C7}" uniqueName="2" name="TOTAL NO of INVOICES" totalsRowFunction="sum" queryTableFieldId="2" dataDxfId="179" totalsRowDxfId="178">
      <calculatedColumnFormula>COUNTIF(B:B,CUSTOMER_PAYMENT_LIST[[#This Row],[Customer Name]])</calculatedColumnFormula>
    </tableColumn>
    <tableColumn id="6" xr3:uid="{47892034-5130-46EA-BCEF-8B2412CBDF1A}" uniqueName="6" name="AVERAGE" totalsRowFunction="sum" queryTableFieldId="6" dataDxfId="177" totalsRowDxfId="176">
      <calculatedColumnFormula>CUSTOMER_PAYMENT_LIST[[#This Row],[TOTAL PENDING AMOUNT]]/CUSTOMER_PAYMENT_LIST[[#This Row],[TOTAL NO of INVOICES]]</calculatedColumnFormula>
    </tableColumn>
    <tableColumn id="3" xr3:uid="{ACC1DD5F-A602-462D-8665-20F226D8A571}" uniqueName="3" name="TOTAL PENDING AMOUNT" totalsRowFunction="sum" queryTableFieldId="3" dataDxfId="175" totalsRowDxfId="174">
      <calculatedColumnFormula>SUMIF(B:B,CUSTOMER_PAYMENT_LIST[[#This Row],[Customer Name]],E:E)</calculatedColumnFormula>
    </tableColumn>
    <tableColumn id="4" xr3:uid="{02B56B2A-2D4A-4CF4-A289-5B63B4A7E7C4}" uniqueName="4" name="PAYMENT CLEARED_x000a_(PAID)" totalsRowFunction="sum" queryTableFieldId="4" dataDxfId="173" totalsRowDxfId="172">
      <calculatedColumnFormula>SUMIFS(E:E,B:B,CUSTOMER_PAYMENT_LIST[[#This Row],[Customer Name]],F:F,"&gt;=1")</calculatedColumnFormula>
    </tableColumn>
    <tableColumn id="5" xr3:uid="{89BB0F94-424A-498C-BB54-5E602E0D1D75}" uniqueName="5" name="BALANCE" totalsRowFunction="sum" queryTableFieldId="5" dataDxfId="171" totalsRowDxfId="170">
      <calculatedColumnFormula>CUSTOMER_PAYMENT_LIST[[#This Row],[TOTAL PENDING AMOUNT]]-CUSTOMER_PAYMENT_LIST[[#This Row],[PAYMENT CLEARED
(PAID)]]</calculatedColumnFormula>
    </tableColumn>
  </tableColumns>
  <tableStyleInfo name="TableStyleMedium6" showFirstColumn="1" showLastColumn="1"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D4F0EA0-9BB6-4AD5-BE66-FCD05B915D1C}" name="Table4" displayName="Table4" ref="D3:F12" totalsRowShown="0" headerRowDxfId="169" dataDxfId="167" headerRowBorderDxfId="168" tableBorderDxfId="166" totalsRowBorderDxfId="165">
  <tableColumns count="3">
    <tableColumn id="1" xr3:uid="{B192AB35-8212-4275-858E-C46A83E7E01E}" name="CHECKLIST" dataDxfId="164"/>
    <tableColumn id="2" xr3:uid="{AFB4F28A-85ED-4629-AFD3-EA601F241F98}" name="STATE" dataDxfId="163"/>
    <tableColumn id="3" xr3:uid="{703459B4-031D-48A8-A245-80457F891628}" name="SALES" dataDxfId="162">
      <calculatedColumnFormula>IF($D4=TRUE,C4,"")</calculatedColumnFormula>
    </tableColumn>
  </tableColumns>
  <tableStyleInfo name="TableStyleLight1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057C55A-1AD8-4C05-B2D9-BD4EE8B6A70B}" name="Table3" displayName="Table3" ref="A1:G16" totalsRowShown="0" headerRowDxfId="158" dataDxfId="156" headerRowBorderDxfId="157" tableBorderDxfId="155" totalsRowBorderDxfId="154">
  <tableColumns count="7">
    <tableColumn id="1" xr3:uid="{6A895B68-2C86-402E-A22D-55CF23F74285}" name="S. No." dataDxfId="153"/>
    <tableColumn id="2" xr3:uid="{E0E9E88B-47DA-4403-AF84-5291039B888C}" name="Item" dataDxfId="152"/>
    <tableColumn id="3" xr3:uid="{D8699BB8-5B50-4586-8DA9-38988D56C76B}" name="Start Date" dataDxfId="151"/>
    <tableColumn id="4" xr3:uid="{B9B5856E-3AB6-4BA4-A099-D3775E757288}" name="Validity_x000a_(In months)" dataDxfId="150"/>
    <tableColumn id="5" xr3:uid="{EF0108A4-79DE-4474-8EAB-68B977AA24FB}" name="Expires on" dataDxfId="149">
      <calculatedColumnFormula>EDATE(Table3[[#This Row],[Start Date]],Table3[[#This Row],[Validity
(In months)]])-1</calculatedColumnFormula>
    </tableColumn>
    <tableColumn id="6" xr3:uid="{893352E7-45D5-474D-B989-06D476657167}" name="Days Left" dataDxfId="148">
      <calculatedColumnFormula>Table3[[#This Row],[Expires on]]-TODAY()</calculatedColumnFormula>
    </tableColumn>
    <tableColumn id="7" xr3:uid="{447EF584-36A6-4938-8C59-BE5919946ACF}" name="Status" dataDxfId="147">
      <calculatedColumnFormula>_xlfn.IFS(Table3[[#This Row],[Days Left]]&lt;0,"EXPIRED",Table3[[#This Row],[Days Left]]&lt;=7,"Expiring soon",Table3[[#This Row],[Days Left]]&gt;7,"")</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F10414-7FED-466B-8E4B-0BAD96289867}" name="Table5" displayName="Table5" ref="B5:G15" totalsRowShown="0" headerRowDxfId="145" dataDxfId="143" headerRowBorderDxfId="144" tableBorderDxfId="142">
  <tableColumns count="6">
    <tableColumn id="1" xr3:uid="{85991843-17A7-40FD-AEE8-08C18C749E57}" name="S.No." dataDxfId="141"/>
    <tableColumn id="2" xr3:uid="{3487A4E0-2FE9-4919-88C7-C198CB0576BE}" name="Task Description" dataDxfId="140"/>
    <tableColumn id="3" xr3:uid="{F0B08CE0-03C2-4C2C-A964-28D37996A6C8}" name="Task Duration" dataDxfId="139"/>
    <tableColumn id="4" xr3:uid="{D5B03B7C-60EE-4FAE-8CCF-434DF4A20381}" name="Start Date" dataDxfId="138"/>
    <tableColumn id="5" xr3:uid="{BED37411-B743-42D5-80E4-178C42F6CB80}" name="End Date" dataDxfId="137"/>
    <tableColumn id="6" xr3:uid="{55254BFA-F56B-4218-82E1-57B4D2611B26}" name="00/01/1900" dataDxfId="136"/>
  </tableColumns>
  <tableStyleInfo name="TableStyleMedium2"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40C674-58A6-4DAE-A6B4-1685C14164F3}" name="Table6" displayName="Table6" ref="C8:G19" totalsRowShown="0" headerRowDxfId="134" headerRowBorderDxfId="133" tableBorderDxfId="132" totalsRowBorderDxfId="131">
  <tableColumns count="5">
    <tableColumn id="1" xr3:uid="{5991AC05-6E0C-4524-AB0C-E28E0F4FF9D9}" name="S.No." dataDxfId="130">
      <calculatedColumnFormula>ROW(1:1)</calculatedColumnFormula>
    </tableColumn>
    <tableColumn id="2" xr3:uid="{F42A1886-E94B-4D8F-8496-3713D62A628F}" name="Task Description" dataDxfId="129"/>
    <tableColumn id="3" xr3:uid="{BBDE309C-EA12-431C-8DF7-B9BEABE8444B}" name="Task Duration" dataDxfId="128"/>
    <tableColumn id="4" xr3:uid="{CD5D0FFF-441E-4243-8450-D95257361021}" name="Start Date" dataDxfId="127">
      <calculatedColumnFormula>G8+1</calculatedColumnFormula>
    </tableColumn>
    <tableColumn id="5" xr3:uid="{225D3C3F-398B-461C-8BED-56ACAD5D59A3}" name="End Date" dataDxfId="126">
      <calculatedColumnFormula>F9+E9-1</calculatedColumnFormula>
    </tableColumn>
  </tableColumns>
  <tableStyleInfo name="TableStyleMedium2"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3B3C5C-AA40-4D15-9412-3FE546E8A23A}" name="Table7" displayName="Table7" ref="D4:F13" totalsRowShown="0" headerRowDxfId="112" dataDxfId="110" headerRowBorderDxfId="111" tableBorderDxfId="109" totalsRowBorderDxfId="108">
  <tableColumns count="3">
    <tableColumn id="1" xr3:uid="{9C5AB4D7-40A0-44E7-A83A-5D6C8D4EE42C}" name="CHECKBOX" dataDxfId="107"/>
    <tableColumn id="2" xr3:uid="{53A01C28-CB78-4136-8345-F2190656D173}" name="STATE" dataDxfId="106"/>
    <tableColumn id="3" xr3:uid="{A6763A59-9110-4C1E-B734-52389947E151}" name="SALES" dataDxfId="105">
      <calculatedColumnFormula>IF(Table7[[#This Row],[CHECKBOX]]=TRUE,C5,"")</calculatedColumnFormula>
    </tableColumn>
  </tableColumns>
  <tableStyleInfo name="TableStyleMedium5"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2504FD-AD2B-40D8-BF1F-D8DFCADFD181}" name="Table8" displayName="Table8" ref="A4:H25" totalsRowShown="0" headerRowDxfId="103" dataDxfId="101" headerRowBorderDxfId="102">
  <sortState ref="A5:H24">
    <sortCondition ref="A5"/>
  </sortState>
  <tableColumns count="8">
    <tableColumn id="1" xr3:uid="{0678EA57-8DC8-4988-9A55-B781A8463DC0}" name="Invoice No." dataDxfId="100"/>
    <tableColumn id="2" xr3:uid="{4977C995-6772-404B-9139-908A09CCFD7D}" name="Items" dataDxfId="99"/>
    <tableColumn id="3" xr3:uid="{459D7C68-4E20-4F92-9FC1-07A89AE05165}" name="Rate" dataDxfId="98"/>
    <tableColumn id="4" xr3:uid="{497A9F25-3572-44FD-AA83-E765FD711AB4}" name="Quantity" dataDxfId="97"/>
    <tableColumn id="5" xr3:uid="{D2268230-ADDD-4ED9-A08D-B11C0168FF9C}" name="Amount" dataDxfId="96">
      <calculatedColumnFormula>Table8[[#This Row],[Rate]]*Table8[[#This Row],[Quantity]]</calculatedColumnFormula>
    </tableColumn>
    <tableColumn id="6" xr3:uid="{0114C893-09FC-4C46-96F2-2D33BCA440DD}" name="GST" dataDxfId="95"/>
    <tableColumn id="7" xr3:uid="{E502655F-0003-4702-8CEA-4924942CF21F}" name="GST Amount" dataDxfId="94">
      <calculatedColumnFormula>Table8[[#This Row],[Amount]]*Table8[[#This Row],[GST]]</calculatedColumnFormula>
    </tableColumn>
    <tableColumn id="8" xr3:uid="{D3CBF5DF-61DA-4BC4-A6B5-3DEDB6BAF56C}" name="Total Amount" dataDxfId="93">
      <calculatedColumnFormula>Table8[[#This Row],[GST Amount]]+Table8[[#This Row],[Amount]]</calculatedColumnFormula>
    </tableColumn>
  </tableColumns>
  <tableStyleInfo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A1CFB16-0542-4422-BD3D-128D77324EBC}" name="Table9" displayName="Table9" ref="A1:C31" totalsRowShown="0" headerRowDxfId="91" dataDxfId="89" headerRowBorderDxfId="90" tableBorderDxfId="88" totalsRowBorderDxfId="87">
  <tableColumns count="3">
    <tableColumn id="1" xr3:uid="{69ECE35B-0354-4A95-8FA2-587C09D2A095}" name="Customer ID" dataDxfId="86"/>
    <tableColumn id="2" xr3:uid="{37E4CF34-FE47-45F0-ACEE-4702AA9633AB}" name="Location" dataDxfId="85"/>
    <tableColumn id="3" xr3:uid="{393AEA5D-57DF-4A60-84DF-B13BCCD1BFD9}" name="Amount" dataDxfId="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1FF2AC-DF1B-4476-9A8F-464770A3805B}" name="Table10" displayName="Table10" ref="E3:F8" totalsRowShown="0" headerRowDxfId="83" dataDxfId="81" headerRowBorderDxfId="82" tableBorderDxfId="80" totalsRowBorderDxfId="79">
  <tableColumns count="2">
    <tableColumn id="1" xr3:uid="{A4D5199B-FC88-4FFB-AB06-52B5F6E4261A}" name="Customer Name" dataDxfId="78"/>
    <tableColumn id="2" xr3:uid="{3E53FD38-8F69-44DB-A62B-4F3C6F8A8DBA}" name="Customer ID" dataDxfId="77"/>
  </tableColumns>
  <tableStyleInfo name="TableStyleMedium2"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5919C82-0CA7-40FF-8354-65A593DB9B28}" name="customer_data" displayName="customer_data" ref="H1:I7" totalsRowShown="0" headerRowDxfId="42" headerRowBorderDxfId="41" tableBorderDxfId="40" totalsRowBorderDxfId="39">
  <tableColumns count="2">
    <tableColumn id="1" xr3:uid="{96823ABA-8D0B-4EA2-88A8-AAEC90157014}" name="Customer ID" dataDxfId="38"/>
    <tableColumn id="2" xr3:uid="{C342FB05-A4A3-4B43-961A-884BA6A57232}" name="Customer Name" dataDxfId="3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9C7447D-FB3A-4CE1-BAF0-B5CB060C8A62}" name="Sales_Data" displayName="Sales_Data" ref="A1:F76" totalsRowShown="0" headerRowDxfId="36" dataDxfId="34" headerRowBorderDxfId="35" tableBorderDxfId="33" totalsRowBorderDxfId="32">
  <tableColumns count="6">
    <tableColumn id="1" xr3:uid="{5EEBF674-8F55-43D8-86D8-4E17CAFF13EF}" name="Year" dataDxfId="31"/>
    <tableColumn id="2" xr3:uid="{E6AFC0BA-332F-4C05-899F-85BA0604E7B4}" name="Customer ID" dataDxfId="30"/>
    <tableColumn id="3" xr3:uid="{9383018C-456A-42FA-8D96-74FF1DF68641}" name="Category" dataDxfId="29"/>
    <tableColumn id="4" xr3:uid="{3892A3FB-7A54-4122-B5D5-227B356D5EC9}" name="Product" dataDxfId="28"/>
    <tableColumn id="5" xr3:uid="{D42C4990-31A4-4A55-ABA2-C405F099BCA1}" name="Sales" dataDxfId="27"/>
    <tableColumn id="6" xr3:uid="{98D781F9-F10E-4449-8D05-7897ED0F6DDB}" name="Rating" dataDxfId="26"/>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B12146-8DD2-4481-82A0-D889FF1FE7CB}" name="RESULT" displayName="RESULT" ref="E23:H37" totalsRowShown="0" headerRowDxfId="20" headerRowBorderDxfId="19" tableBorderDxfId="18" totalsRowBorderDxfId="17">
  <tableColumns count="4">
    <tableColumn id="1" xr3:uid="{FBE8CEBE-FD78-4145-93C1-365389A6D2EB}" name="Stu_Name" dataDxfId="16"/>
    <tableColumn id="2" xr3:uid="{DEB6607B-5027-4941-9E6F-735EF7338827}" name="Gender" dataDxfId="15"/>
    <tableColumn id="3" xr3:uid="{1FA37241-00C5-42EB-AD3E-680DAEDC5FD7}" name="Marks" dataDxfId="14">
      <calculatedColumnFormula>RANDBETWEEN(10,100)</calculatedColumnFormula>
    </tableColumn>
    <tableColumn id="4" xr3:uid="{B6CF1642-C59E-43E3-9552-8755A37BF3A6}" name="Stu_ID"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085467-3E4A-48C6-8CE3-0F156A20873F}" name="Table14" displayName="Table14" ref="A1:H17" totalsRowShown="0" headerRowDxfId="0" dataDxfId="12" headerRowBorderDxfId="10" tableBorderDxfId="11" totalsRowBorderDxfId="9">
  <tableColumns count="8">
    <tableColumn id="1" xr3:uid="{3245F023-E340-4451-8234-49A4F6734506}" name="Name" dataDxfId="8"/>
    <tableColumn id="2" xr3:uid="{7892B497-E930-4F5F-A2BE-53770CA7BAE2}" name="Jan" dataDxfId="7"/>
    <tableColumn id="3" xr3:uid="{22645307-7F41-4CD0-BD4A-7C89522B05DC}" name="Feb" dataDxfId="6"/>
    <tableColumn id="4" xr3:uid="{35263CC1-01D7-4978-A7B3-7CF295C6130E}" name="Mar" dataDxfId="5"/>
    <tableColumn id="5" xr3:uid="{5053691F-4E8B-4EC1-9F0A-1D8CEEF50AAC}" name="Apr" dataDxfId="4"/>
    <tableColumn id="6" xr3:uid="{5688A50B-EE91-4075-AB47-08C5548ABCEB}" name="May" dataDxfId="3"/>
    <tableColumn id="7" xr3:uid="{00CB52C8-42B9-483A-A8D5-610A164E18DC}" name="Jun" dataDxfId="2"/>
    <tableColumn id="8" xr3:uid="{BCF6FC0F-3326-4649-A07C-B67EEC802B12}" name="Jul" dataDxfId="1"/>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2E6DCDA-CFD3-4B8F-BB19-35EF62E8C776}">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atanur328@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7" Type="http://schemas.openxmlformats.org/officeDocument/2006/relationships/control" Target="../activeX/activeX3.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5.xml"/><Relationship Id="rId16"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11.xml"/><Relationship Id="rId5" Type="http://schemas.openxmlformats.org/officeDocument/2006/relationships/image" Target="../media/image13.emf"/><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12"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drawing" Target="../drawings/drawing10.xm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ctrlProp" Target="../ctrlProps/ctrlProp29.x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vmlDrawing" Target="../drawings/vmlDrawing6.vml"/><Relationship Id="rId1" Type="http://schemas.openxmlformats.org/officeDocument/2006/relationships/drawing" Target="../drawings/drawing12.xml"/><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4B82D-2A54-4D2F-948C-F3E54410D500}">
  <sheetPr codeName="Sheet2"/>
  <dimension ref="A1:N2056"/>
  <sheetViews>
    <sheetView showGridLines="0" zoomScale="80" zoomScaleNormal="80" workbookViewId="0">
      <selection activeCell="F6" sqref="F6"/>
    </sheetView>
  </sheetViews>
  <sheetFormatPr defaultRowHeight="15" x14ac:dyDescent="0.25"/>
  <cols>
    <col min="1" max="4" width="15.7109375" customWidth="1"/>
    <col min="5" max="5" width="15.7109375" style="19" customWidth="1"/>
    <col min="6" max="6" width="15.7109375" customWidth="1"/>
    <col min="9" max="9" width="22.140625" bestFit="1" customWidth="1"/>
    <col min="10" max="10" width="22" style="17" bestFit="1" customWidth="1"/>
    <col min="11" max="11" width="9.85546875" bestFit="1" customWidth="1"/>
    <col min="12" max="12" width="25.28515625" bestFit="1" customWidth="1"/>
    <col min="13" max="13" width="10" bestFit="1" customWidth="1"/>
    <col min="14" max="14" width="11.42578125" bestFit="1" customWidth="1"/>
  </cols>
  <sheetData>
    <row r="1" spans="1:14" ht="15.75" thickBot="1" x14ac:dyDescent="0.3">
      <c r="A1" s="1" t="s">
        <v>0</v>
      </c>
      <c r="B1" s="2" t="s">
        <v>1</v>
      </c>
      <c r="C1" s="2" t="s">
        <v>2</v>
      </c>
      <c r="D1" s="2" t="s">
        <v>3</v>
      </c>
      <c r="E1" s="2" t="s">
        <v>4</v>
      </c>
      <c r="F1" s="3" t="s">
        <v>5</v>
      </c>
      <c r="J1"/>
    </row>
    <row r="2" spans="1:14" ht="30.75" thickBot="1" x14ac:dyDescent="0.3">
      <c r="A2" s="4">
        <v>1</v>
      </c>
      <c r="B2" s="5" t="s">
        <v>6</v>
      </c>
      <c r="C2" s="5" t="s">
        <v>7</v>
      </c>
      <c r="D2" s="6">
        <v>44771</v>
      </c>
      <c r="E2" s="20">
        <v>566</v>
      </c>
      <c r="F2" s="7">
        <v>1</v>
      </c>
      <c r="I2" s="236" t="s">
        <v>1739</v>
      </c>
      <c r="J2" s="237"/>
      <c r="K2" s="237"/>
      <c r="L2" s="237"/>
      <c r="M2" s="237"/>
      <c r="N2" s="238"/>
    </row>
    <row r="3" spans="1:14" ht="15.75" thickBot="1" x14ac:dyDescent="0.3">
      <c r="A3" s="4">
        <v>2</v>
      </c>
      <c r="B3" s="5" t="s">
        <v>8</v>
      </c>
      <c r="C3" s="5" t="s">
        <v>9</v>
      </c>
      <c r="D3" s="6">
        <v>44585</v>
      </c>
      <c r="E3" s="20">
        <v>652</v>
      </c>
      <c r="F3" s="7">
        <v>0</v>
      </c>
      <c r="I3" s="239"/>
      <c r="J3" s="240"/>
      <c r="K3" s="240"/>
      <c r="L3" s="240"/>
      <c r="M3" s="240"/>
      <c r="N3" s="241"/>
    </row>
    <row r="4" spans="1:14" ht="30.75" thickBot="1" x14ac:dyDescent="0.3">
      <c r="A4" s="8">
        <v>3</v>
      </c>
      <c r="B4" s="9" t="s">
        <v>10</v>
      </c>
      <c r="C4" s="9" t="s">
        <v>11</v>
      </c>
      <c r="D4" s="10">
        <v>45017</v>
      </c>
      <c r="E4" s="21">
        <v>564</v>
      </c>
      <c r="F4" s="11">
        <v>0</v>
      </c>
      <c r="J4" s="16"/>
    </row>
    <row r="5" spans="1:14" ht="48" thickBot="1" x14ac:dyDescent="0.3">
      <c r="A5" s="8">
        <v>4</v>
      </c>
      <c r="B5" s="9" t="s">
        <v>12</v>
      </c>
      <c r="C5" s="9" t="s">
        <v>13</v>
      </c>
      <c r="D5" s="10">
        <v>44752</v>
      </c>
      <c r="E5" s="21">
        <v>502</v>
      </c>
      <c r="F5" s="11">
        <v>1</v>
      </c>
      <c r="I5" s="37" t="s">
        <v>1738</v>
      </c>
      <c r="J5" s="233">
        <f>CUSTOMER_PAYMENT_LIST[[#Totals],[PAYMENT CLEARED
(PAID)]]/CUSTOMER_PAYMENT_LIST[[#Totals],[TOTAL PENDING AMOUNT]]</f>
        <v>0.26615177895640985</v>
      </c>
      <c r="K5" s="234"/>
      <c r="L5" s="234"/>
      <c r="M5" s="234"/>
      <c r="N5" s="235"/>
    </row>
    <row r="6" spans="1:14" ht="30.75" thickBot="1" x14ac:dyDescent="0.3">
      <c r="A6" s="4">
        <v>5</v>
      </c>
      <c r="B6" s="5" t="s">
        <v>14</v>
      </c>
      <c r="C6" s="5" t="s">
        <v>15</v>
      </c>
      <c r="D6" s="6">
        <v>44792</v>
      </c>
      <c r="E6" s="20">
        <v>672</v>
      </c>
      <c r="F6" s="7">
        <v>0</v>
      </c>
      <c r="J6" s="16"/>
    </row>
    <row r="7" spans="1:14" ht="45.75" thickBot="1" x14ac:dyDescent="0.3">
      <c r="A7" s="4">
        <v>6</v>
      </c>
      <c r="B7" s="5" t="s">
        <v>16</v>
      </c>
      <c r="C7" s="5" t="s">
        <v>17</v>
      </c>
      <c r="D7" s="6">
        <v>44660</v>
      </c>
      <c r="E7" s="20">
        <v>865</v>
      </c>
      <c r="F7" s="7">
        <v>1</v>
      </c>
      <c r="I7" s="23" t="s">
        <v>1</v>
      </c>
      <c r="J7" s="24" t="s">
        <v>1732</v>
      </c>
      <c r="K7" s="24" t="s">
        <v>1735</v>
      </c>
      <c r="L7" s="24" t="s">
        <v>1733</v>
      </c>
      <c r="M7" s="32" t="s">
        <v>1737</v>
      </c>
      <c r="N7" s="25" t="s">
        <v>1734</v>
      </c>
    </row>
    <row r="8" spans="1:14" ht="15.75" thickBot="1" x14ac:dyDescent="0.3">
      <c r="A8" s="8">
        <v>7</v>
      </c>
      <c r="B8" s="9" t="s">
        <v>18</v>
      </c>
      <c r="C8" s="9" t="s">
        <v>19</v>
      </c>
      <c r="D8" s="10">
        <v>45047</v>
      </c>
      <c r="E8" s="21">
        <v>621</v>
      </c>
      <c r="F8" s="11">
        <v>0</v>
      </c>
      <c r="I8" s="42" t="s">
        <v>6</v>
      </c>
      <c r="J8" s="43">
        <f>COUNTIF(B:B,CUSTOMER_PAYMENT_LIST[[#This Row],[Customer Name]])</f>
        <v>201</v>
      </c>
      <c r="K8" s="44">
        <f>CUSTOMER_PAYMENT_LIST[[#This Row],[TOTAL PENDING AMOUNT]]/CUSTOMER_PAYMENT_LIST[[#This Row],[TOTAL NO of INVOICES]]</f>
        <v>688.90547263681594</v>
      </c>
      <c r="L8" s="44">
        <f>SUMIF(B:B,CUSTOMER_PAYMENT_LIST[[#This Row],[Customer Name]],E:E)</f>
        <v>138470</v>
      </c>
      <c r="M8" s="44">
        <f>SUMIFS(E:E,B:B,CUSTOMER_PAYMENT_LIST[[#This Row],[Customer Name]],F:F,"&gt;=1")</f>
        <v>37742</v>
      </c>
      <c r="N8" s="45">
        <f>CUSTOMER_PAYMENT_LIST[[#This Row],[TOTAL PENDING AMOUNT]]-CUSTOMER_PAYMENT_LIST[[#This Row],[PAYMENT CLEARED
(PAID)]]</f>
        <v>100728</v>
      </c>
    </row>
    <row r="9" spans="1:14" ht="15.75" thickBot="1" x14ac:dyDescent="0.3">
      <c r="A9" s="8">
        <v>8</v>
      </c>
      <c r="B9" s="9" t="s">
        <v>20</v>
      </c>
      <c r="C9" s="9" t="s">
        <v>21</v>
      </c>
      <c r="D9" s="10">
        <v>44822</v>
      </c>
      <c r="E9" s="21">
        <v>659</v>
      </c>
      <c r="F9" s="11">
        <v>1</v>
      </c>
      <c r="I9" s="26" t="s">
        <v>8</v>
      </c>
      <c r="J9" s="27">
        <f>COUNTIF(B:B,CUSTOMER_PAYMENT_LIST[[#This Row],[Customer Name]])</f>
        <v>202</v>
      </c>
      <c r="K9" s="33">
        <f>CUSTOMER_PAYMENT_LIST[[#This Row],[TOTAL PENDING AMOUNT]]/CUSTOMER_PAYMENT_LIST[[#This Row],[TOTAL NO of INVOICES]]</f>
        <v>686.71782178217825</v>
      </c>
      <c r="L9" s="33">
        <f>SUMIF(B:B,CUSTOMER_PAYMENT_LIST[[#This Row],[Customer Name]],E:E)</f>
        <v>138717</v>
      </c>
      <c r="M9" s="33">
        <f>SUMIFS(E:E,B:B,CUSTOMER_PAYMENT_LIST[[#This Row],[Customer Name]],F:F,"&gt;=1")</f>
        <v>37930</v>
      </c>
      <c r="N9" s="34">
        <f>CUSTOMER_PAYMENT_LIST[[#This Row],[TOTAL PENDING AMOUNT]]-CUSTOMER_PAYMENT_LIST[[#This Row],[PAYMENT CLEARED
(PAID)]]</f>
        <v>100787</v>
      </c>
    </row>
    <row r="10" spans="1:14" ht="30.75" thickBot="1" x14ac:dyDescent="0.3">
      <c r="A10" s="4">
        <v>9</v>
      </c>
      <c r="B10" s="5" t="s">
        <v>22</v>
      </c>
      <c r="C10" s="5" t="s">
        <v>23</v>
      </c>
      <c r="D10" s="6">
        <v>44637</v>
      </c>
      <c r="E10" s="20">
        <v>977</v>
      </c>
      <c r="F10" s="7">
        <v>0</v>
      </c>
      <c r="I10" s="26" t="s">
        <v>10</v>
      </c>
      <c r="J10" s="27">
        <f>COUNTIF(B:B,CUSTOMER_PAYMENT_LIST[[#This Row],[Customer Name]])</f>
        <v>204</v>
      </c>
      <c r="K10" s="33">
        <f>CUSTOMER_PAYMENT_LIST[[#This Row],[TOTAL PENDING AMOUNT]]/CUSTOMER_PAYMENT_LIST[[#This Row],[TOTAL NO of INVOICES]]</f>
        <v>725.22058823529414</v>
      </c>
      <c r="L10" s="33">
        <f>SUMIF(B:B,CUSTOMER_PAYMENT_LIST[[#This Row],[Customer Name]],E:E)</f>
        <v>147945</v>
      </c>
      <c r="M10" s="33">
        <f>SUMIFS(E:E,B:B,CUSTOMER_PAYMENT_LIST[[#This Row],[Customer Name]],F:F,"&gt;=1")</f>
        <v>37170</v>
      </c>
      <c r="N10" s="34">
        <f>CUSTOMER_PAYMENT_LIST[[#This Row],[TOTAL PENDING AMOUNT]]-CUSTOMER_PAYMENT_LIST[[#This Row],[PAYMENT CLEARED
(PAID)]]</f>
        <v>110775</v>
      </c>
    </row>
    <row r="11" spans="1:14" ht="30.75" thickBot="1" x14ac:dyDescent="0.3">
      <c r="A11" s="4">
        <v>10</v>
      </c>
      <c r="B11" s="5" t="s">
        <v>24</v>
      </c>
      <c r="C11" s="5" t="s">
        <v>25</v>
      </c>
      <c r="D11" s="6">
        <v>44562</v>
      </c>
      <c r="E11" s="20">
        <v>898</v>
      </c>
      <c r="F11" s="7">
        <v>1</v>
      </c>
      <c r="I11" s="26" t="s">
        <v>12</v>
      </c>
      <c r="J11" s="27">
        <f>COUNTIF(B:B,CUSTOMER_PAYMENT_LIST[[#This Row],[Customer Name]])</f>
        <v>200</v>
      </c>
      <c r="K11" s="33">
        <f>CUSTOMER_PAYMENT_LIST[[#This Row],[TOTAL PENDING AMOUNT]]/CUSTOMER_PAYMENT_LIST[[#This Row],[TOTAL NO of INVOICES]]</f>
        <v>699.91</v>
      </c>
      <c r="L11" s="33">
        <f>SUMIF(B:B,CUSTOMER_PAYMENT_LIST[[#This Row],[Customer Name]],E:E)</f>
        <v>139982</v>
      </c>
      <c r="M11" s="33">
        <f>SUMIFS(E:E,B:B,CUSTOMER_PAYMENT_LIST[[#This Row],[Customer Name]],F:F,"&gt;=1")</f>
        <v>37726</v>
      </c>
      <c r="N11" s="34">
        <f>CUSTOMER_PAYMENT_LIST[[#This Row],[TOTAL PENDING AMOUNT]]-CUSTOMER_PAYMENT_LIST[[#This Row],[PAYMENT CLEARED
(PAID)]]</f>
        <v>102256</v>
      </c>
    </row>
    <row r="12" spans="1:14" ht="30.75" thickBot="1" x14ac:dyDescent="0.3">
      <c r="A12" s="8">
        <v>11</v>
      </c>
      <c r="B12" s="9" t="s">
        <v>6</v>
      </c>
      <c r="C12" s="9" t="s">
        <v>26</v>
      </c>
      <c r="D12" s="10">
        <v>44894</v>
      </c>
      <c r="E12" s="21">
        <v>755</v>
      </c>
      <c r="F12" s="11">
        <v>0</v>
      </c>
      <c r="I12" s="26" t="s">
        <v>14</v>
      </c>
      <c r="J12" s="27">
        <f>COUNTIF(B:B,CUSTOMER_PAYMENT_LIST[[#This Row],[Customer Name]])</f>
        <v>201</v>
      </c>
      <c r="K12" s="33">
        <f>CUSTOMER_PAYMENT_LIST[[#This Row],[TOTAL PENDING AMOUNT]]/CUSTOMER_PAYMENT_LIST[[#This Row],[TOTAL NO of INVOICES]]</f>
        <v>689.28358208955228</v>
      </c>
      <c r="L12" s="33">
        <f>SUMIF(B:B,CUSTOMER_PAYMENT_LIST[[#This Row],[Customer Name]],E:E)</f>
        <v>138546</v>
      </c>
      <c r="M12" s="33">
        <f>SUMIFS(E:E,B:B,CUSTOMER_PAYMENT_LIST[[#This Row],[Customer Name]],F:F,"&gt;=1")</f>
        <v>36516</v>
      </c>
      <c r="N12" s="34">
        <f>CUSTOMER_PAYMENT_LIST[[#This Row],[TOTAL PENDING AMOUNT]]-CUSTOMER_PAYMENT_LIST[[#This Row],[PAYMENT CLEARED
(PAID)]]</f>
        <v>102030</v>
      </c>
    </row>
    <row r="13" spans="1:14" ht="15.75" thickBot="1" x14ac:dyDescent="0.3">
      <c r="A13" s="8">
        <v>12</v>
      </c>
      <c r="B13" s="9" t="s">
        <v>8</v>
      </c>
      <c r="C13" s="9" t="s">
        <v>27</v>
      </c>
      <c r="D13" s="10">
        <v>44961</v>
      </c>
      <c r="E13" s="21">
        <v>411</v>
      </c>
      <c r="F13" s="11">
        <v>1</v>
      </c>
      <c r="I13" s="26" t="s">
        <v>16</v>
      </c>
      <c r="J13" s="27">
        <f>COUNTIF(B:B,CUSTOMER_PAYMENT_LIST[[#This Row],[Customer Name]])</f>
        <v>202</v>
      </c>
      <c r="K13" s="33">
        <f>CUSTOMER_PAYMENT_LIST[[#This Row],[TOTAL PENDING AMOUNT]]/CUSTOMER_PAYMENT_LIST[[#This Row],[TOTAL NO of INVOICES]]</f>
        <v>708.44554455445541</v>
      </c>
      <c r="L13" s="33">
        <f>SUMIF(B:B,CUSTOMER_PAYMENT_LIST[[#This Row],[Customer Name]],E:E)</f>
        <v>143106</v>
      </c>
      <c r="M13" s="33">
        <f>SUMIFS(E:E,B:B,CUSTOMER_PAYMENT_LIST[[#This Row],[Customer Name]],F:F,"&gt;=1")</f>
        <v>38291</v>
      </c>
      <c r="N13" s="34">
        <f>CUSTOMER_PAYMENT_LIST[[#This Row],[TOTAL PENDING AMOUNT]]-CUSTOMER_PAYMENT_LIST[[#This Row],[PAYMENT CLEARED
(PAID)]]</f>
        <v>104815</v>
      </c>
    </row>
    <row r="14" spans="1:14" ht="30.75" thickBot="1" x14ac:dyDescent="0.3">
      <c r="A14" s="4">
        <v>13</v>
      </c>
      <c r="B14" s="5" t="s">
        <v>10</v>
      </c>
      <c r="C14" s="5" t="s">
        <v>28</v>
      </c>
      <c r="D14" s="6">
        <v>44890</v>
      </c>
      <c r="E14" s="20">
        <v>453</v>
      </c>
      <c r="F14" s="7">
        <v>0</v>
      </c>
      <c r="I14" s="26" t="s">
        <v>18</v>
      </c>
      <c r="J14" s="27">
        <f>COUNTIF(B:B,CUSTOMER_PAYMENT_LIST[[#This Row],[Customer Name]])</f>
        <v>201</v>
      </c>
      <c r="K14" s="33">
        <f>CUSTOMER_PAYMENT_LIST[[#This Row],[TOTAL PENDING AMOUNT]]/CUSTOMER_PAYMENT_LIST[[#This Row],[TOTAL NO of INVOICES]]</f>
        <v>673.72139303482584</v>
      </c>
      <c r="L14" s="33">
        <f>SUMIF(B:B,CUSTOMER_PAYMENT_LIST[[#This Row],[Customer Name]],E:E)</f>
        <v>135418</v>
      </c>
      <c r="M14" s="33">
        <f>SUMIFS(E:E,B:B,CUSTOMER_PAYMENT_LIST[[#This Row],[Customer Name]],F:F,"&gt;=1")</f>
        <v>36898</v>
      </c>
      <c r="N14" s="34">
        <f>CUSTOMER_PAYMENT_LIST[[#This Row],[TOTAL PENDING AMOUNT]]-CUSTOMER_PAYMENT_LIST[[#This Row],[PAYMENT CLEARED
(PAID)]]</f>
        <v>98520</v>
      </c>
    </row>
    <row r="15" spans="1:14" ht="30.75" thickBot="1" x14ac:dyDescent="0.3">
      <c r="A15" s="4">
        <v>14</v>
      </c>
      <c r="B15" s="5" t="s">
        <v>12</v>
      </c>
      <c r="C15" s="5" t="s">
        <v>29</v>
      </c>
      <c r="D15" s="6">
        <v>44996</v>
      </c>
      <c r="E15" s="20">
        <v>863</v>
      </c>
      <c r="F15" s="7">
        <v>1</v>
      </c>
      <c r="I15" s="26" t="s">
        <v>20</v>
      </c>
      <c r="J15" s="27">
        <f>COUNTIF(B:B,CUSTOMER_PAYMENT_LIST[[#This Row],[Customer Name]])</f>
        <v>199</v>
      </c>
      <c r="K15" s="33">
        <f>CUSTOMER_PAYMENT_LIST[[#This Row],[TOTAL PENDING AMOUNT]]/CUSTOMER_PAYMENT_LIST[[#This Row],[TOTAL NO of INVOICES]]</f>
        <v>718.678391959799</v>
      </c>
      <c r="L15" s="33">
        <f>SUMIF(B:B,CUSTOMER_PAYMENT_LIST[[#This Row],[Customer Name]],E:E)</f>
        <v>143017</v>
      </c>
      <c r="M15" s="33">
        <f>SUMIFS(E:E,B:B,CUSTOMER_PAYMENT_LIST[[#This Row],[Customer Name]],F:F,"&gt;=1")</f>
        <v>37316</v>
      </c>
      <c r="N15" s="34">
        <f>CUSTOMER_PAYMENT_LIST[[#This Row],[TOTAL PENDING AMOUNT]]-CUSTOMER_PAYMENT_LIST[[#This Row],[PAYMENT CLEARED
(PAID)]]</f>
        <v>105701</v>
      </c>
    </row>
    <row r="16" spans="1:14" ht="30.75" thickBot="1" x14ac:dyDescent="0.3">
      <c r="A16" s="8">
        <v>15</v>
      </c>
      <c r="B16" s="9" t="s">
        <v>14</v>
      </c>
      <c r="C16" s="9" t="s">
        <v>30</v>
      </c>
      <c r="D16" s="10">
        <v>44726</v>
      </c>
      <c r="E16" s="21">
        <v>506</v>
      </c>
      <c r="F16" s="11">
        <v>1</v>
      </c>
      <c r="I16" s="26" t="s">
        <v>22</v>
      </c>
      <c r="J16" s="27">
        <f>COUNTIF(B:B,CUSTOMER_PAYMENT_LIST[[#This Row],[Customer Name]])</f>
        <v>196</v>
      </c>
      <c r="K16" s="33">
        <f>CUSTOMER_PAYMENT_LIST[[#This Row],[TOTAL PENDING AMOUNT]]/CUSTOMER_PAYMENT_LIST[[#This Row],[TOTAL NO of INVOICES]]</f>
        <v>699.15816326530614</v>
      </c>
      <c r="L16" s="33">
        <f>SUMIF(B:B,CUSTOMER_PAYMENT_LIST[[#This Row],[Customer Name]],E:E)</f>
        <v>137035</v>
      </c>
      <c r="M16" s="33">
        <f>SUMIFS(E:E,B:B,CUSTOMER_PAYMENT_LIST[[#This Row],[Customer Name]],F:F,"&gt;=1")</f>
        <v>34649</v>
      </c>
      <c r="N16" s="34">
        <f>CUSTOMER_PAYMENT_LIST[[#This Row],[TOTAL PENDING AMOUNT]]-CUSTOMER_PAYMENT_LIST[[#This Row],[PAYMENT CLEARED
(PAID)]]</f>
        <v>102386</v>
      </c>
    </row>
    <row r="17" spans="1:14" ht="30.75" thickBot="1" x14ac:dyDescent="0.3">
      <c r="A17" s="8">
        <v>16</v>
      </c>
      <c r="B17" s="9" t="s">
        <v>16</v>
      </c>
      <c r="C17" s="9" t="s">
        <v>31</v>
      </c>
      <c r="D17" s="10">
        <v>45047</v>
      </c>
      <c r="E17" s="21">
        <v>870</v>
      </c>
      <c r="F17" s="11">
        <v>1</v>
      </c>
      <c r="I17" s="26" t="s">
        <v>24</v>
      </c>
      <c r="J17" s="27">
        <f>COUNTIF(B:B,CUSTOMER_PAYMENT_LIST[[#This Row],[Customer Name]])</f>
        <v>194</v>
      </c>
      <c r="K17" s="33">
        <f>CUSTOMER_PAYMENT_LIST[[#This Row],[TOTAL PENDING AMOUNT]]/CUSTOMER_PAYMENT_LIST[[#This Row],[TOTAL NO of INVOICES]]</f>
        <v>710.39175257731961</v>
      </c>
      <c r="L17" s="33">
        <f>SUMIF(B:B,CUSTOMER_PAYMENT_LIST[[#This Row],[Customer Name]],E:E)</f>
        <v>137816</v>
      </c>
      <c r="M17" s="33">
        <f>SUMIFS(E:E,B:B,CUSTOMER_PAYMENT_LIST[[#This Row],[Customer Name]],F:F,"&gt;=1")</f>
        <v>33316</v>
      </c>
      <c r="N17" s="34">
        <f>CUSTOMER_PAYMENT_LIST[[#This Row],[TOTAL PENDING AMOUNT]]-CUSTOMER_PAYMENT_LIST[[#This Row],[PAYMENT CLEARED
(PAID)]]</f>
        <v>104500</v>
      </c>
    </row>
    <row r="18" spans="1:14" ht="15.75" thickBot="1" x14ac:dyDescent="0.3">
      <c r="A18" s="4">
        <v>17</v>
      </c>
      <c r="B18" s="5" t="s">
        <v>18</v>
      </c>
      <c r="C18" s="5" t="s">
        <v>32</v>
      </c>
      <c r="D18" s="6">
        <v>44890</v>
      </c>
      <c r="E18" s="20">
        <v>665</v>
      </c>
      <c r="F18" s="7">
        <v>1</v>
      </c>
      <c r="I18" s="26" t="s">
        <v>1728</v>
      </c>
      <c r="J18" s="27">
        <f>COUNTIF(B:B,CUSTOMER_PAYMENT_LIST[[#This Row],[Customer Name]])</f>
        <v>1</v>
      </c>
      <c r="K18" s="33">
        <f>CUSTOMER_PAYMENT_LIST[[#This Row],[TOTAL PENDING AMOUNT]]/CUSTOMER_PAYMENT_LIST[[#This Row],[TOTAL NO of INVOICES]]</f>
        <v>1000</v>
      </c>
      <c r="L18" s="33">
        <f>SUMIF(B:B,CUSTOMER_PAYMENT_LIST[[#This Row],[Customer Name]],E:E)</f>
        <v>1000</v>
      </c>
      <c r="M18" s="33">
        <f>SUMIFS(E:E,B:B,CUSTOMER_PAYMENT_LIST[[#This Row],[Customer Name]],F:F,"&gt;=1")</f>
        <v>0</v>
      </c>
      <c r="N18" s="34">
        <f>CUSTOMER_PAYMENT_LIST[[#This Row],[TOTAL PENDING AMOUNT]]-CUSTOMER_PAYMENT_LIST[[#This Row],[PAYMENT CLEARED
(PAID)]]</f>
        <v>1000</v>
      </c>
    </row>
    <row r="19" spans="1:14" ht="15.75" thickBot="1" x14ac:dyDescent="0.3">
      <c r="A19" s="4">
        <v>18</v>
      </c>
      <c r="B19" s="5" t="s">
        <v>20</v>
      </c>
      <c r="C19" s="5" t="s">
        <v>33</v>
      </c>
      <c r="D19" s="6">
        <v>44800</v>
      </c>
      <c r="E19" s="20">
        <v>738</v>
      </c>
      <c r="F19" s="7">
        <v>1</v>
      </c>
      <c r="I19" s="26" t="s">
        <v>1730</v>
      </c>
      <c r="J19" s="27">
        <f>COUNTIF(B:B,CUSTOMER_PAYMENT_LIST[[#This Row],[Customer Name]])</f>
        <v>1</v>
      </c>
      <c r="K19" s="33">
        <f>CUSTOMER_PAYMENT_LIST[[#This Row],[TOTAL PENDING AMOUNT]]/CUSTOMER_PAYMENT_LIST[[#This Row],[TOTAL NO of INVOICES]]</f>
        <v>2000</v>
      </c>
      <c r="L19" s="33">
        <f>SUMIF(B:B,CUSTOMER_PAYMENT_LIST[[#This Row],[Customer Name]],E:E)</f>
        <v>2000</v>
      </c>
      <c r="M19" s="33">
        <f>SUMIFS(E:E,B:B,CUSTOMER_PAYMENT_LIST[[#This Row],[Customer Name]],F:F,"&gt;=1")</f>
        <v>0</v>
      </c>
      <c r="N19" s="34">
        <f>CUSTOMER_PAYMENT_LIST[[#This Row],[TOTAL PENDING AMOUNT]]-CUSTOMER_PAYMENT_LIST[[#This Row],[PAYMENT CLEARED
(PAID)]]</f>
        <v>2000</v>
      </c>
    </row>
    <row r="20" spans="1:14" ht="30.75" thickBot="1" x14ac:dyDescent="0.3">
      <c r="A20" s="8">
        <v>19</v>
      </c>
      <c r="B20" s="9" t="s">
        <v>22</v>
      </c>
      <c r="C20" s="9" t="s">
        <v>34</v>
      </c>
      <c r="D20" s="10">
        <v>44903</v>
      </c>
      <c r="E20" s="21">
        <v>997</v>
      </c>
      <c r="F20" s="11">
        <v>1</v>
      </c>
      <c r="I20" s="28" t="s">
        <v>1741</v>
      </c>
      <c r="J20" s="29">
        <f>COUNTIF(B:B,CUSTOMER_PAYMENT_LIST[[#This Row],[Customer Name]])</f>
        <v>2</v>
      </c>
      <c r="K20" s="35">
        <f>CUSTOMER_PAYMENT_LIST[[#This Row],[TOTAL PENDING AMOUNT]]/CUSTOMER_PAYMENT_LIST[[#This Row],[TOTAL NO of INVOICES]]</f>
        <v>4000</v>
      </c>
      <c r="L20" s="35">
        <f>SUMIF(B:B,CUSTOMER_PAYMENT_LIST[[#This Row],[Customer Name]],E:E)</f>
        <v>8000</v>
      </c>
      <c r="M20" s="35">
        <f>SUMIFS(E:E,B:B,CUSTOMER_PAYMENT_LIST[[#This Row],[Customer Name]],F:F,"&gt;=1")</f>
        <v>8000</v>
      </c>
      <c r="N20" s="36">
        <f>CUSTOMER_PAYMENT_LIST[[#This Row],[TOTAL PENDING AMOUNT]]-CUSTOMER_PAYMENT_LIST[[#This Row],[PAYMENT CLEARED
(PAID)]]</f>
        <v>0</v>
      </c>
    </row>
    <row r="21" spans="1:14" ht="30.75" thickBot="1" x14ac:dyDescent="0.3">
      <c r="A21" s="8">
        <v>20</v>
      </c>
      <c r="B21" s="9" t="s">
        <v>24</v>
      </c>
      <c r="C21" s="9" t="s">
        <v>35</v>
      </c>
      <c r="D21" s="10">
        <v>44900</v>
      </c>
      <c r="E21" s="21">
        <v>866</v>
      </c>
      <c r="F21" s="11">
        <v>1</v>
      </c>
      <c r="I21" s="30" t="s">
        <v>1736</v>
      </c>
      <c r="J21" s="31">
        <f>SUBTOTAL(109,CUSTOMER_PAYMENT_LIST[TOTAL NO of INVOICES])</f>
        <v>2004</v>
      </c>
      <c r="K21" s="35">
        <f>SUBTOTAL(109,CUSTOMER_PAYMENT_LIST[AVERAGE])</f>
        <v>14000.432710135547</v>
      </c>
      <c r="L21" s="35">
        <f>SUBTOTAL(109,CUSTOMER_PAYMENT_LIST[TOTAL PENDING AMOUNT])</f>
        <v>1411052</v>
      </c>
      <c r="M21" s="35">
        <f>SUBTOTAL(109,CUSTOMER_PAYMENT_LIST[PAYMENT CLEARED
(PAID)])</f>
        <v>375554</v>
      </c>
      <c r="N21" s="36">
        <f>SUBTOTAL(109,CUSTOMER_PAYMENT_LIST[BALANCE])</f>
        <v>1035498</v>
      </c>
    </row>
    <row r="22" spans="1:14" ht="30.75" thickBot="1" x14ac:dyDescent="0.3">
      <c r="A22" s="4">
        <v>21</v>
      </c>
      <c r="B22" s="5" t="s">
        <v>6</v>
      </c>
      <c r="C22" s="5" t="s">
        <v>36</v>
      </c>
      <c r="D22" s="6">
        <v>44753</v>
      </c>
      <c r="E22" s="20">
        <v>655</v>
      </c>
      <c r="F22" s="7">
        <v>1</v>
      </c>
      <c r="J22" s="16"/>
    </row>
    <row r="23" spans="1:14" ht="15.75" thickBot="1" x14ac:dyDescent="0.3">
      <c r="A23" s="4">
        <v>22</v>
      </c>
      <c r="B23" s="5" t="s">
        <v>8</v>
      </c>
      <c r="C23" s="5" t="s">
        <v>37</v>
      </c>
      <c r="D23" s="6">
        <v>44793</v>
      </c>
      <c r="E23" s="20">
        <v>843</v>
      </c>
      <c r="F23" s="7">
        <v>1</v>
      </c>
      <c r="J23" s="16"/>
    </row>
    <row r="24" spans="1:14" ht="30.75" thickBot="1" x14ac:dyDescent="0.3">
      <c r="A24" s="8">
        <v>23</v>
      </c>
      <c r="B24" s="9" t="s">
        <v>10</v>
      </c>
      <c r="C24" s="9" t="s">
        <v>38</v>
      </c>
      <c r="D24" s="10">
        <v>44732</v>
      </c>
      <c r="E24" s="21">
        <v>475</v>
      </c>
      <c r="F24" s="11">
        <v>1</v>
      </c>
      <c r="J24" s="16"/>
    </row>
    <row r="25" spans="1:14" ht="30.75" thickBot="1" x14ac:dyDescent="0.3">
      <c r="A25" s="8">
        <v>24</v>
      </c>
      <c r="B25" s="9" t="s">
        <v>12</v>
      </c>
      <c r="C25" s="9" t="s">
        <v>39</v>
      </c>
      <c r="D25" s="10">
        <v>44939</v>
      </c>
      <c r="E25" s="21">
        <v>811</v>
      </c>
      <c r="F25" s="11">
        <v>1</v>
      </c>
      <c r="J25" s="16"/>
    </row>
    <row r="26" spans="1:14" ht="30.75" thickBot="1" x14ac:dyDescent="0.3">
      <c r="A26" s="4">
        <v>25</v>
      </c>
      <c r="B26" s="5" t="s">
        <v>14</v>
      </c>
      <c r="C26" s="5" t="s">
        <v>40</v>
      </c>
      <c r="D26" s="6">
        <v>44891</v>
      </c>
      <c r="E26" s="20">
        <v>579</v>
      </c>
      <c r="F26" s="7">
        <v>1</v>
      </c>
      <c r="J26" s="16"/>
    </row>
    <row r="27" spans="1:14" ht="30.75" thickBot="1" x14ac:dyDescent="0.3">
      <c r="A27" s="4">
        <v>26</v>
      </c>
      <c r="B27" s="5" t="s">
        <v>16</v>
      </c>
      <c r="C27" s="5" t="s">
        <v>41</v>
      </c>
      <c r="D27" s="6">
        <v>44902</v>
      </c>
      <c r="E27" s="20">
        <v>540</v>
      </c>
      <c r="F27" s="7">
        <v>1</v>
      </c>
      <c r="J27" s="16"/>
    </row>
    <row r="28" spans="1:14" ht="15.75" thickBot="1" x14ac:dyDescent="0.3">
      <c r="A28" s="8">
        <v>27</v>
      </c>
      <c r="B28" s="9" t="s">
        <v>18</v>
      </c>
      <c r="C28" s="9" t="s">
        <v>42</v>
      </c>
      <c r="D28" s="10">
        <v>44772</v>
      </c>
      <c r="E28" s="21">
        <v>640</v>
      </c>
      <c r="F28" s="11">
        <v>1</v>
      </c>
      <c r="J28" s="16"/>
    </row>
    <row r="29" spans="1:14" ht="15.75" thickBot="1" x14ac:dyDescent="0.3">
      <c r="A29" s="8">
        <v>28</v>
      </c>
      <c r="B29" s="9" t="s">
        <v>20</v>
      </c>
      <c r="C29" s="9" t="s">
        <v>43</v>
      </c>
      <c r="D29" s="10">
        <v>44983</v>
      </c>
      <c r="E29" s="21">
        <v>479</v>
      </c>
      <c r="F29" s="11">
        <v>1</v>
      </c>
      <c r="J29" s="16"/>
    </row>
    <row r="30" spans="1:14" ht="30.75" thickBot="1" x14ac:dyDescent="0.3">
      <c r="A30" s="4">
        <v>29</v>
      </c>
      <c r="B30" s="5" t="s">
        <v>22</v>
      </c>
      <c r="C30" s="5" t="s">
        <v>44</v>
      </c>
      <c r="D30" s="6">
        <v>44900</v>
      </c>
      <c r="E30" s="20">
        <v>890</v>
      </c>
      <c r="F30" s="7">
        <v>1</v>
      </c>
      <c r="J30" s="16"/>
    </row>
    <row r="31" spans="1:14" ht="30.75" thickBot="1" x14ac:dyDescent="0.3">
      <c r="A31" s="4">
        <v>30</v>
      </c>
      <c r="B31" s="5" t="s">
        <v>24</v>
      </c>
      <c r="C31" s="5" t="s">
        <v>45</v>
      </c>
      <c r="D31" s="6">
        <v>44977</v>
      </c>
      <c r="E31" s="20">
        <v>822</v>
      </c>
      <c r="F31" s="7">
        <v>1</v>
      </c>
      <c r="J31" s="16"/>
    </row>
    <row r="32" spans="1:14" ht="30.75" thickBot="1" x14ac:dyDescent="0.3">
      <c r="A32" s="8">
        <v>31</v>
      </c>
      <c r="B32" s="9" t="s">
        <v>6</v>
      </c>
      <c r="C32" s="9" t="s">
        <v>46</v>
      </c>
      <c r="D32" s="10">
        <v>44762</v>
      </c>
      <c r="E32" s="21">
        <v>594</v>
      </c>
      <c r="F32" s="11">
        <v>0</v>
      </c>
      <c r="J32" s="16"/>
    </row>
    <row r="33" spans="1:10" ht="15.75" thickBot="1" x14ac:dyDescent="0.3">
      <c r="A33" s="8">
        <v>32</v>
      </c>
      <c r="B33" s="9" t="s">
        <v>8</v>
      </c>
      <c r="C33" s="9" t="s">
        <v>47</v>
      </c>
      <c r="D33" s="10">
        <v>45011</v>
      </c>
      <c r="E33" s="21">
        <v>667</v>
      </c>
      <c r="F33" s="11">
        <v>0</v>
      </c>
      <c r="J33" s="16"/>
    </row>
    <row r="34" spans="1:10" ht="30.75" thickBot="1" x14ac:dyDescent="0.3">
      <c r="A34" s="4">
        <v>33</v>
      </c>
      <c r="B34" s="5" t="s">
        <v>10</v>
      </c>
      <c r="C34" s="5" t="s">
        <v>48</v>
      </c>
      <c r="D34" s="6">
        <v>45015</v>
      </c>
      <c r="E34" s="20">
        <v>761</v>
      </c>
      <c r="F34" s="7">
        <v>0</v>
      </c>
      <c r="J34" s="16"/>
    </row>
    <row r="35" spans="1:10" ht="30.75" thickBot="1" x14ac:dyDescent="0.3">
      <c r="A35" s="4">
        <v>34</v>
      </c>
      <c r="B35" s="5" t="s">
        <v>12</v>
      </c>
      <c r="C35" s="5" t="s">
        <v>49</v>
      </c>
      <c r="D35" s="6">
        <v>44816</v>
      </c>
      <c r="E35" s="20">
        <v>837</v>
      </c>
      <c r="F35" s="7">
        <v>0</v>
      </c>
      <c r="J35" s="16"/>
    </row>
    <row r="36" spans="1:10" ht="30.75" thickBot="1" x14ac:dyDescent="0.3">
      <c r="A36" s="8">
        <v>35</v>
      </c>
      <c r="B36" s="9" t="s">
        <v>14</v>
      </c>
      <c r="C36" s="9" t="s">
        <v>50</v>
      </c>
      <c r="D36" s="10">
        <v>44655</v>
      </c>
      <c r="E36" s="21">
        <v>705</v>
      </c>
      <c r="F36" s="11">
        <v>0</v>
      </c>
      <c r="J36" s="16"/>
    </row>
    <row r="37" spans="1:10" ht="30.75" thickBot="1" x14ac:dyDescent="0.3">
      <c r="A37" s="8">
        <v>36</v>
      </c>
      <c r="B37" s="9" t="s">
        <v>16</v>
      </c>
      <c r="C37" s="9" t="s">
        <v>51</v>
      </c>
      <c r="D37" s="10">
        <v>44933</v>
      </c>
      <c r="E37" s="21">
        <v>612</v>
      </c>
      <c r="F37" s="11">
        <v>1</v>
      </c>
      <c r="J37" s="16"/>
    </row>
    <row r="38" spans="1:10" ht="15.75" thickBot="1" x14ac:dyDescent="0.3">
      <c r="A38" s="4">
        <v>37</v>
      </c>
      <c r="B38" s="5" t="s">
        <v>18</v>
      </c>
      <c r="C38" s="5" t="s">
        <v>52</v>
      </c>
      <c r="D38" s="6">
        <v>44963</v>
      </c>
      <c r="E38" s="20">
        <v>810</v>
      </c>
      <c r="F38" s="7">
        <v>1</v>
      </c>
      <c r="J38" s="16"/>
    </row>
    <row r="39" spans="1:10" ht="15.75" thickBot="1" x14ac:dyDescent="0.3">
      <c r="A39" s="4">
        <v>38</v>
      </c>
      <c r="B39" s="5" t="s">
        <v>20</v>
      </c>
      <c r="C39" s="5" t="s">
        <v>53</v>
      </c>
      <c r="D39" s="6">
        <v>44818</v>
      </c>
      <c r="E39" s="20">
        <v>602</v>
      </c>
      <c r="F39" s="7">
        <v>1</v>
      </c>
      <c r="J39" s="16"/>
    </row>
    <row r="40" spans="1:10" ht="30.75" thickBot="1" x14ac:dyDescent="0.3">
      <c r="A40" s="8">
        <v>39</v>
      </c>
      <c r="B40" s="9" t="s">
        <v>22</v>
      </c>
      <c r="C40" s="9" t="s">
        <v>54</v>
      </c>
      <c r="D40" s="10">
        <v>44893</v>
      </c>
      <c r="E40" s="21">
        <v>637</v>
      </c>
      <c r="F40" s="11">
        <v>1</v>
      </c>
      <c r="J40" s="16"/>
    </row>
    <row r="41" spans="1:10" ht="30.75" thickBot="1" x14ac:dyDescent="0.3">
      <c r="A41" s="8">
        <v>40</v>
      </c>
      <c r="B41" s="9" t="s">
        <v>24</v>
      </c>
      <c r="C41" s="9" t="s">
        <v>55</v>
      </c>
      <c r="D41" s="10">
        <v>44728</v>
      </c>
      <c r="E41" s="21">
        <v>967</v>
      </c>
      <c r="F41" s="11">
        <v>1</v>
      </c>
      <c r="J41" s="16"/>
    </row>
    <row r="42" spans="1:10" ht="30.75" thickBot="1" x14ac:dyDescent="0.3">
      <c r="A42" s="4">
        <v>41</v>
      </c>
      <c r="B42" s="5" t="s">
        <v>6</v>
      </c>
      <c r="C42" s="5" t="s">
        <v>56</v>
      </c>
      <c r="D42" s="6">
        <v>44794</v>
      </c>
      <c r="E42" s="20">
        <v>636</v>
      </c>
      <c r="F42" s="7">
        <v>1</v>
      </c>
      <c r="J42" s="16"/>
    </row>
    <row r="43" spans="1:10" ht="15.75" thickBot="1" x14ac:dyDescent="0.3">
      <c r="A43" s="4">
        <v>42</v>
      </c>
      <c r="B43" s="5" t="s">
        <v>8</v>
      </c>
      <c r="C43" s="5" t="s">
        <v>57</v>
      </c>
      <c r="D43" s="6">
        <v>44845</v>
      </c>
      <c r="E43" s="20">
        <v>870</v>
      </c>
      <c r="F43" s="7">
        <v>1</v>
      </c>
      <c r="J43" s="16"/>
    </row>
    <row r="44" spans="1:10" ht="30.75" thickBot="1" x14ac:dyDescent="0.3">
      <c r="A44" s="8">
        <v>43</v>
      </c>
      <c r="B44" s="9" t="s">
        <v>10</v>
      </c>
      <c r="C44" s="9" t="s">
        <v>58</v>
      </c>
      <c r="D44" s="10">
        <v>45012</v>
      </c>
      <c r="E44" s="21">
        <v>782</v>
      </c>
      <c r="F44" s="11">
        <v>1</v>
      </c>
      <c r="J44" s="16"/>
    </row>
    <row r="45" spans="1:10" ht="30.75" thickBot="1" x14ac:dyDescent="0.3">
      <c r="A45" s="8">
        <v>44</v>
      </c>
      <c r="B45" s="9" t="s">
        <v>12</v>
      </c>
      <c r="C45" s="9" t="s">
        <v>59</v>
      </c>
      <c r="D45" s="10">
        <v>44654</v>
      </c>
      <c r="E45" s="21">
        <v>457</v>
      </c>
      <c r="F45" s="11">
        <v>1</v>
      </c>
      <c r="J45" s="16"/>
    </row>
    <row r="46" spans="1:10" ht="30.75" thickBot="1" x14ac:dyDescent="0.3">
      <c r="A46" s="4">
        <v>45</v>
      </c>
      <c r="B46" s="5" t="s">
        <v>14</v>
      </c>
      <c r="C46" s="5" t="s">
        <v>60</v>
      </c>
      <c r="D46" s="6">
        <v>44823</v>
      </c>
      <c r="E46" s="20">
        <v>536</v>
      </c>
      <c r="F46" s="7">
        <v>1</v>
      </c>
      <c r="J46" s="16"/>
    </row>
    <row r="47" spans="1:10" ht="30.75" thickBot="1" x14ac:dyDescent="0.3">
      <c r="A47" s="4">
        <v>46</v>
      </c>
      <c r="B47" s="5" t="s">
        <v>16</v>
      </c>
      <c r="C47" s="5" t="s">
        <v>61</v>
      </c>
      <c r="D47" s="6">
        <v>44931</v>
      </c>
      <c r="E47" s="20">
        <v>521</v>
      </c>
      <c r="F47" s="7">
        <v>1</v>
      </c>
      <c r="J47" s="16"/>
    </row>
    <row r="48" spans="1:10" ht="15.75" thickBot="1" x14ac:dyDescent="0.3">
      <c r="A48" s="8">
        <v>47</v>
      </c>
      <c r="B48" s="9" t="s">
        <v>18</v>
      </c>
      <c r="C48" s="9" t="s">
        <v>62</v>
      </c>
      <c r="D48" s="10">
        <v>44732</v>
      </c>
      <c r="E48" s="21">
        <v>601</v>
      </c>
      <c r="F48" s="11">
        <v>1</v>
      </c>
      <c r="J48" s="16"/>
    </row>
    <row r="49" spans="1:10" ht="15.75" thickBot="1" x14ac:dyDescent="0.3">
      <c r="A49" s="8">
        <v>48</v>
      </c>
      <c r="B49" s="9" t="s">
        <v>20</v>
      </c>
      <c r="C49" s="9" t="s">
        <v>63</v>
      </c>
      <c r="D49" s="10">
        <v>44906</v>
      </c>
      <c r="E49" s="21">
        <v>608</v>
      </c>
      <c r="F49" s="11">
        <v>1</v>
      </c>
      <c r="J49" s="16"/>
    </row>
    <row r="50" spans="1:10" ht="30.75" thickBot="1" x14ac:dyDescent="0.3">
      <c r="A50" s="4">
        <v>49</v>
      </c>
      <c r="B50" s="5" t="s">
        <v>22</v>
      </c>
      <c r="C50" s="5" t="s">
        <v>64</v>
      </c>
      <c r="D50" s="6">
        <v>44797</v>
      </c>
      <c r="E50" s="20">
        <v>421</v>
      </c>
      <c r="F50" s="7">
        <v>1</v>
      </c>
      <c r="J50" s="16"/>
    </row>
    <row r="51" spans="1:10" ht="30.75" thickBot="1" x14ac:dyDescent="0.3">
      <c r="A51" s="4">
        <v>50</v>
      </c>
      <c r="B51" s="5" t="s">
        <v>24</v>
      </c>
      <c r="C51" s="5" t="s">
        <v>65</v>
      </c>
      <c r="D51" s="6">
        <v>44673</v>
      </c>
      <c r="E51" s="20">
        <v>408</v>
      </c>
      <c r="F51" s="7">
        <v>1</v>
      </c>
      <c r="J51" s="16"/>
    </row>
    <row r="52" spans="1:10" ht="30.75" thickBot="1" x14ac:dyDescent="0.3">
      <c r="A52" s="8">
        <v>51</v>
      </c>
      <c r="B52" s="9" t="s">
        <v>6</v>
      </c>
      <c r="C52" s="9" t="s">
        <v>66</v>
      </c>
      <c r="D52" s="10">
        <v>44821</v>
      </c>
      <c r="E52" s="21">
        <v>877</v>
      </c>
      <c r="F52" s="11">
        <v>1</v>
      </c>
      <c r="J52" s="16"/>
    </row>
    <row r="53" spans="1:10" ht="15.75" thickBot="1" x14ac:dyDescent="0.3">
      <c r="A53" s="8">
        <v>52</v>
      </c>
      <c r="B53" s="9" t="s">
        <v>8</v>
      </c>
      <c r="C53" s="9" t="s">
        <v>67</v>
      </c>
      <c r="D53" s="10">
        <v>44735</v>
      </c>
      <c r="E53" s="21">
        <v>531</v>
      </c>
      <c r="F53" s="11">
        <v>1</v>
      </c>
      <c r="J53" s="16"/>
    </row>
    <row r="54" spans="1:10" ht="30.75" thickBot="1" x14ac:dyDescent="0.3">
      <c r="A54" s="4">
        <v>53</v>
      </c>
      <c r="B54" s="5" t="s">
        <v>10</v>
      </c>
      <c r="C54" s="5" t="s">
        <v>68</v>
      </c>
      <c r="D54" s="6">
        <v>44667</v>
      </c>
      <c r="E54" s="20">
        <v>900</v>
      </c>
      <c r="F54" s="7">
        <v>1</v>
      </c>
      <c r="J54" s="16"/>
    </row>
    <row r="55" spans="1:10" ht="30.75" thickBot="1" x14ac:dyDescent="0.3">
      <c r="A55" s="4">
        <v>54</v>
      </c>
      <c r="B55" s="5" t="s">
        <v>12</v>
      </c>
      <c r="C55" s="5" t="s">
        <v>69</v>
      </c>
      <c r="D55" s="6">
        <v>45012</v>
      </c>
      <c r="E55" s="20">
        <v>468</v>
      </c>
      <c r="F55" s="7">
        <v>1</v>
      </c>
      <c r="J55" s="16"/>
    </row>
    <row r="56" spans="1:10" ht="30.75" thickBot="1" x14ac:dyDescent="0.3">
      <c r="A56" s="8">
        <v>55</v>
      </c>
      <c r="B56" s="9" t="s">
        <v>14</v>
      </c>
      <c r="C56" s="9" t="s">
        <v>70</v>
      </c>
      <c r="D56" s="10">
        <v>44986</v>
      </c>
      <c r="E56" s="21">
        <v>873</v>
      </c>
      <c r="F56" s="11">
        <v>1</v>
      </c>
      <c r="J56" s="16"/>
    </row>
    <row r="57" spans="1:10" ht="30.75" thickBot="1" x14ac:dyDescent="0.3">
      <c r="A57" s="8">
        <v>56</v>
      </c>
      <c r="B57" s="9" t="s">
        <v>16</v>
      </c>
      <c r="C57" s="9" t="s">
        <v>71</v>
      </c>
      <c r="D57" s="10">
        <v>44713</v>
      </c>
      <c r="E57" s="21">
        <v>869</v>
      </c>
      <c r="F57" s="11">
        <v>1</v>
      </c>
      <c r="J57" s="16"/>
    </row>
    <row r="58" spans="1:10" ht="15.75" thickBot="1" x14ac:dyDescent="0.3">
      <c r="A58" s="4">
        <v>57</v>
      </c>
      <c r="B58" s="5" t="s">
        <v>18</v>
      </c>
      <c r="C58" s="5" t="s">
        <v>72</v>
      </c>
      <c r="D58" s="6">
        <v>44695</v>
      </c>
      <c r="E58" s="20">
        <v>599</v>
      </c>
      <c r="F58" s="7">
        <v>1</v>
      </c>
      <c r="J58" s="16"/>
    </row>
    <row r="59" spans="1:10" ht="15.75" thickBot="1" x14ac:dyDescent="0.3">
      <c r="A59" s="4">
        <v>58</v>
      </c>
      <c r="B59" s="5" t="s">
        <v>20</v>
      </c>
      <c r="C59" s="5" t="s">
        <v>73</v>
      </c>
      <c r="D59" s="6">
        <v>44868</v>
      </c>
      <c r="E59" s="20">
        <v>970</v>
      </c>
      <c r="F59" s="7">
        <v>1</v>
      </c>
      <c r="J59" s="16"/>
    </row>
    <row r="60" spans="1:10" ht="30.75" thickBot="1" x14ac:dyDescent="0.3">
      <c r="A60" s="8">
        <v>59</v>
      </c>
      <c r="B60" s="9" t="s">
        <v>22</v>
      </c>
      <c r="C60" s="9" t="s">
        <v>74</v>
      </c>
      <c r="D60" s="10">
        <v>44930</v>
      </c>
      <c r="E60" s="21">
        <v>957</v>
      </c>
      <c r="F60" s="11">
        <v>1</v>
      </c>
      <c r="J60" s="16"/>
    </row>
    <row r="61" spans="1:10" ht="30.75" thickBot="1" x14ac:dyDescent="0.3">
      <c r="A61" s="8">
        <v>60</v>
      </c>
      <c r="B61" s="9" t="s">
        <v>24</v>
      </c>
      <c r="C61" s="9" t="s">
        <v>75</v>
      </c>
      <c r="D61" s="10">
        <v>44895</v>
      </c>
      <c r="E61" s="21">
        <v>692</v>
      </c>
      <c r="F61" s="11">
        <v>1</v>
      </c>
      <c r="J61" s="16"/>
    </row>
    <row r="62" spans="1:10" ht="30.75" thickBot="1" x14ac:dyDescent="0.3">
      <c r="A62" s="4">
        <v>61</v>
      </c>
      <c r="B62" s="5" t="s">
        <v>6</v>
      </c>
      <c r="C62" s="5" t="s">
        <v>76</v>
      </c>
      <c r="D62" s="6">
        <v>44825</v>
      </c>
      <c r="E62" s="20">
        <v>740</v>
      </c>
      <c r="F62" s="7">
        <v>1</v>
      </c>
      <c r="J62" s="16"/>
    </row>
    <row r="63" spans="1:10" ht="15.75" thickBot="1" x14ac:dyDescent="0.3">
      <c r="A63" s="4">
        <v>62</v>
      </c>
      <c r="B63" s="5" t="s">
        <v>8</v>
      </c>
      <c r="C63" s="5" t="s">
        <v>77</v>
      </c>
      <c r="D63" s="6">
        <v>44625</v>
      </c>
      <c r="E63" s="20">
        <v>781</v>
      </c>
      <c r="F63" s="7">
        <v>1</v>
      </c>
      <c r="J63" s="16"/>
    </row>
    <row r="64" spans="1:10" ht="30.75" thickBot="1" x14ac:dyDescent="0.3">
      <c r="A64" s="8">
        <v>63</v>
      </c>
      <c r="B64" s="9" t="s">
        <v>10</v>
      </c>
      <c r="C64" s="9" t="s">
        <v>78</v>
      </c>
      <c r="D64" s="10">
        <v>44748</v>
      </c>
      <c r="E64" s="21">
        <v>813</v>
      </c>
      <c r="F64" s="11">
        <v>1</v>
      </c>
      <c r="J64" s="16"/>
    </row>
    <row r="65" spans="1:10" ht="30.75" thickBot="1" x14ac:dyDescent="0.3">
      <c r="A65" s="8">
        <v>64</v>
      </c>
      <c r="B65" s="9" t="s">
        <v>12</v>
      </c>
      <c r="C65" s="9" t="s">
        <v>79</v>
      </c>
      <c r="D65" s="10">
        <v>44905</v>
      </c>
      <c r="E65" s="21">
        <v>671</v>
      </c>
      <c r="F65" s="11">
        <v>1</v>
      </c>
      <c r="J65" s="16"/>
    </row>
    <row r="66" spans="1:10" ht="30.75" thickBot="1" x14ac:dyDescent="0.3">
      <c r="A66" s="4">
        <v>65</v>
      </c>
      <c r="B66" s="5" t="s">
        <v>14</v>
      </c>
      <c r="C66" s="5" t="s">
        <v>80</v>
      </c>
      <c r="D66" s="6">
        <v>44974</v>
      </c>
      <c r="E66" s="20">
        <v>418</v>
      </c>
      <c r="F66" s="7">
        <v>1</v>
      </c>
      <c r="J66" s="16"/>
    </row>
    <row r="67" spans="1:10" ht="30.75" thickBot="1" x14ac:dyDescent="0.3">
      <c r="A67" s="4">
        <v>66</v>
      </c>
      <c r="B67" s="5" t="s">
        <v>16</v>
      </c>
      <c r="C67" s="5" t="s">
        <v>81</v>
      </c>
      <c r="D67" s="6">
        <v>44938</v>
      </c>
      <c r="E67" s="20">
        <v>441</v>
      </c>
      <c r="F67" s="7">
        <v>1</v>
      </c>
      <c r="J67" s="16"/>
    </row>
    <row r="68" spans="1:10" ht="15.75" thickBot="1" x14ac:dyDescent="0.3">
      <c r="A68" s="8">
        <v>67</v>
      </c>
      <c r="B68" s="9" t="s">
        <v>18</v>
      </c>
      <c r="C68" s="9" t="s">
        <v>82</v>
      </c>
      <c r="D68" s="10">
        <v>44733</v>
      </c>
      <c r="E68" s="21">
        <v>935</v>
      </c>
      <c r="F68" s="11">
        <v>1</v>
      </c>
      <c r="J68" s="16"/>
    </row>
    <row r="69" spans="1:10" ht="15.75" thickBot="1" x14ac:dyDescent="0.3">
      <c r="A69" s="8">
        <v>68</v>
      </c>
      <c r="B69" s="9" t="s">
        <v>20</v>
      </c>
      <c r="C69" s="9" t="s">
        <v>83</v>
      </c>
      <c r="D69" s="10">
        <v>44967</v>
      </c>
      <c r="E69" s="21">
        <v>888</v>
      </c>
      <c r="F69" s="11">
        <v>1</v>
      </c>
      <c r="J69" s="16"/>
    </row>
    <row r="70" spans="1:10" ht="30.75" thickBot="1" x14ac:dyDescent="0.3">
      <c r="A70" s="4">
        <v>69</v>
      </c>
      <c r="B70" s="5" t="s">
        <v>22</v>
      </c>
      <c r="C70" s="5" t="s">
        <v>84</v>
      </c>
      <c r="D70" s="6">
        <v>44845</v>
      </c>
      <c r="E70" s="20">
        <v>785</v>
      </c>
      <c r="F70" s="7">
        <v>1</v>
      </c>
      <c r="J70" s="16"/>
    </row>
    <row r="71" spans="1:10" ht="30.75" thickBot="1" x14ac:dyDescent="0.3">
      <c r="A71" s="4">
        <v>70</v>
      </c>
      <c r="B71" s="5" t="s">
        <v>24</v>
      </c>
      <c r="C71" s="5" t="s">
        <v>85</v>
      </c>
      <c r="D71" s="6">
        <v>44715</v>
      </c>
      <c r="E71" s="20">
        <v>663</v>
      </c>
      <c r="F71" s="7">
        <v>0</v>
      </c>
      <c r="J71" s="16"/>
    </row>
    <row r="72" spans="1:10" ht="30.75" thickBot="1" x14ac:dyDescent="0.3">
      <c r="A72" s="8">
        <v>71</v>
      </c>
      <c r="B72" s="9" t="s">
        <v>6</v>
      </c>
      <c r="C72" s="9" t="s">
        <v>86</v>
      </c>
      <c r="D72" s="10">
        <v>44929</v>
      </c>
      <c r="E72" s="21">
        <v>801</v>
      </c>
      <c r="F72" s="11">
        <v>1</v>
      </c>
      <c r="J72" s="16"/>
    </row>
    <row r="73" spans="1:10" ht="15.75" thickBot="1" x14ac:dyDescent="0.3">
      <c r="A73" s="8">
        <v>72</v>
      </c>
      <c r="B73" s="9" t="s">
        <v>8</v>
      </c>
      <c r="C73" s="9" t="s">
        <v>87</v>
      </c>
      <c r="D73" s="10">
        <v>44856</v>
      </c>
      <c r="E73" s="21">
        <v>633</v>
      </c>
      <c r="F73" s="11">
        <v>1</v>
      </c>
      <c r="J73" s="16"/>
    </row>
    <row r="74" spans="1:10" ht="30.75" thickBot="1" x14ac:dyDescent="0.3">
      <c r="A74" s="4">
        <v>73</v>
      </c>
      <c r="B74" s="5" t="s">
        <v>10</v>
      </c>
      <c r="C74" s="5" t="s">
        <v>88</v>
      </c>
      <c r="D74" s="6">
        <v>44690</v>
      </c>
      <c r="E74" s="20">
        <v>572</v>
      </c>
      <c r="F74" s="7">
        <v>1</v>
      </c>
      <c r="J74" s="16"/>
    </row>
    <row r="75" spans="1:10" ht="30.75" thickBot="1" x14ac:dyDescent="0.3">
      <c r="A75" s="4">
        <v>74</v>
      </c>
      <c r="B75" s="5" t="s">
        <v>12</v>
      </c>
      <c r="C75" s="5" t="s">
        <v>89</v>
      </c>
      <c r="D75" s="6">
        <v>44930</v>
      </c>
      <c r="E75" s="20">
        <v>466</v>
      </c>
      <c r="F75" s="7">
        <v>1</v>
      </c>
      <c r="J75" s="16"/>
    </row>
    <row r="76" spans="1:10" ht="30.75" thickBot="1" x14ac:dyDescent="0.3">
      <c r="A76" s="8">
        <v>75</v>
      </c>
      <c r="B76" s="9" t="s">
        <v>14</v>
      </c>
      <c r="C76" s="9" t="s">
        <v>90</v>
      </c>
      <c r="D76" s="10">
        <v>44618</v>
      </c>
      <c r="E76" s="21">
        <v>841</v>
      </c>
      <c r="F76" s="11">
        <v>1</v>
      </c>
      <c r="J76" s="16"/>
    </row>
    <row r="77" spans="1:10" ht="30.75" thickBot="1" x14ac:dyDescent="0.3">
      <c r="A77" s="8">
        <v>76</v>
      </c>
      <c r="B77" s="9" t="s">
        <v>16</v>
      </c>
      <c r="C77" s="9" t="s">
        <v>91</v>
      </c>
      <c r="D77" s="10">
        <v>44798</v>
      </c>
      <c r="E77" s="21">
        <v>495</v>
      </c>
      <c r="F77" s="11">
        <v>1</v>
      </c>
      <c r="J77" s="16"/>
    </row>
    <row r="78" spans="1:10" ht="15.75" thickBot="1" x14ac:dyDescent="0.3">
      <c r="A78" s="4">
        <v>77</v>
      </c>
      <c r="B78" s="5" t="s">
        <v>18</v>
      </c>
      <c r="C78" s="5" t="s">
        <v>92</v>
      </c>
      <c r="D78" s="6">
        <v>44664</v>
      </c>
      <c r="E78" s="20">
        <v>865</v>
      </c>
      <c r="F78" s="7">
        <v>1</v>
      </c>
      <c r="J78" s="16"/>
    </row>
    <row r="79" spans="1:10" ht="15.75" thickBot="1" x14ac:dyDescent="0.3">
      <c r="A79" s="4">
        <v>78</v>
      </c>
      <c r="B79" s="5" t="s">
        <v>20</v>
      </c>
      <c r="C79" s="5" t="s">
        <v>93</v>
      </c>
      <c r="D79" s="6">
        <v>44811</v>
      </c>
      <c r="E79" s="20">
        <v>953</v>
      </c>
      <c r="F79" s="7">
        <v>1</v>
      </c>
      <c r="J79" s="16"/>
    </row>
    <row r="80" spans="1:10" ht="30.75" thickBot="1" x14ac:dyDescent="0.3">
      <c r="A80" s="8">
        <v>79</v>
      </c>
      <c r="B80" s="9" t="s">
        <v>22</v>
      </c>
      <c r="C80" s="9" t="s">
        <v>94</v>
      </c>
      <c r="D80" s="10">
        <v>44772</v>
      </c>
      <c r="E80" s="21">
        <v>613</v>
      </c>
      <c r="F80" s="11">
        <v>1</v>
      </c>
      <c r="J80" s="16"/>
    </row>
    <row r="81" spans="1:10" ht="30.75" thickBot="1" x14ac:dyDescent="0.3">
      <c r="A81" s="8">
        <v>80</v>
      </c>
      <c r="B81" s="9" t="s">
        <v>6</v>
      </c>
      <c r="C81" s="9" t="s">
        <v>7</v>
      </c>
      <c r="D81" s="10">
        <v>44771</v>
      </c>
      <c r="E81" s="21">
        <v>948</v>
      </c>
      <c r="F81" s="11">
        <v>1</v>
      </c>
      <c r="J81" s="16"/>
    </row>
    <row r="82" spans="1:10" ht="15.75" thickBot="1" x14ac:dyDescent="0.3">
      <c r="A82" s="4">
        <v>81</v>
      </c>
      <c r="B82" s="5" t="s">
        <v>8</v>
      </c>
      <c r="C82" s="5" t="s">
        <v>9</v>
      </c>
      <c r="D82" s="6">
        <v>44585</v>
      </c>
      <c r="E82" s="20">
        <v>412</v>
      </c>
      <c r="F82" s="7">
        <v>1</v>
      </c>
      <c r="J82" s="16"/>
    </row>
    <row r="83" spans="1:10" ht="30.75" thickBot="1" x14ac:dyDescent="0.3">
      <c r="A83" s="4">
        <v>82</v>
      </c>
      <c r="B83" s="5" t="s">
        <v>10</v>
      </c>
      <c r="C83" s="5" t="s">
        <v>11</v>
      </c>
      <c r="D83" s="6">
        <v>45017</v>
      </c>
      <c r="E83" s="20">
        <v>422</v>
      </c>
      <c r="F83" s="7">
        <v>1</v>
      </c>
      <c r="J83" s="16"/>
    </row>
    <row r="84" spans="1:10" ht="30.75" thickBot="1" x14ac:dyDescent="0.3">
      <c r="A84" s="8">
        <v>83</v>
      </c>
      <c r="B84" s="9" t="s">
        <v>12</v>
      </c>
      <c r="C84" s="9" t="s">
        <v>13</v>
      </c>
      <c r="D84" s="10">
        <v>44752</v>
      </c>
      <c r="E84" s="21">
        <v>840</v>
      </c>
      <c r="F84" s="11">
        <v>1</v>
      </c>
      <c r="J84" s="16"/>
    </row>
    <row r="85" spans="1:10" ht="30.75" thickBot="1" x14ac:dyDescent="0.3">
      <c r="A85" s="8">
        <v>84</v>
      </c>
      <c r="B85" s="9" t="s">
        <v>14</v>
      </c>
      <c r="C85" s="9" t="s">
        <v>15</v>
      </c>
      <c r="D85" s="10">
        <v>44792</v>
      </c>
      <c r="E85" s="21">
        <v>796</v>
      </c>
      <c r="F85" s="11">
        <v>1</v>
      </c>
      <c r="J85" s="16"/>
    </row>
    <row r="86" spans="1:10" ht="30.75" thickBot="1" x14ac:dyDescent="0.3">
      <c r="A86" s="4">
        <v>85</v>
      </c>
      <c r="B86" s="5" t="s">
        <v>16</v>
      </c>
      <c r="C86" s="5" t="s">
        <v>17</v>
      </c>
      <c r="D86" s="6">
        <v>44660</v>
      </c>
      <c r="E86" s="20">
        <v>524</v>
      </c>
      <c r="F86" s="7">
        <v>1</v>
      </c>
      <c r="J86" s="16"/>
    </row>
    <row r="87" spans="1:10" ht="15.75" thickBot="1" x14ac:dyDescent="0.3">
      <c r="A87" s="4">
        <v>86</v>
      </c>
      <c r="B87" s="5" t="s">
        <v>18</v>
      </c>
      <c r="C87" s="5" t="s">
        <v>19</v>
      </c>
      <c r="D87" s="6">
        <v>45047</v>
      </c>
      <c r="E87" s="20">
        <v>844</v>
      </c>
      <c r="F87" s="7">
        <v>1</v>
      </c>
      <c r="J87" s="16"/>
    </row>
    <row r="88" spans="1:10" ht="15.75" thickBot="1" x14ac:dyDescent="0.3">
      <c r="A88" s="8">
        <v>87</v>
      </c>
      <c r="B88" s="9" t="s">
        <v>20</v>
      </c>
      <c r="C88" s="9" t="s">
        <v>21</v>
      </c>
      <c r="D88" s="10">
        <v>44822</v>
      </c>
      <c r="E88" s="21">
        <v>778</v>
      </c>
      <c r="F88" s="11">
        <v>1</v>
      </c>
      <c r="J88" s="16"/>
    </row>
    <row r="89" spans="1:10" ht="30.75" thickBot="1" x14ac:dyDescent="0.3">
      <c r="A89" s="8">
        <v>88</v>
      </c>
      <c r="B89" s="9" t="s">
        <v>22</v>
      </c>
      <c r="C89" s="9" t="s">
        <v>23</v>
      </c>
      <c r="D89" s="10">
        <v>44637</v>
      </c>
      <c r="E89" s="21">
        <v>565</v>
      </c>
      <c r="F89" s="11">
        <v>1</v>
      </c>
      <c r="J89" s="16"/>
    </row>
    <row r="90" spans="1:10" ht="30.75" thickBot="1" x14ac:dyDescent="0.3">
      <c r="A90" s="4">
        <v>89</v>
      </c>
      <c r="B90" s="5" t="s">
        <v>24</v>
      </c>
      <c r="C90" s="5" t="s">
        <v>25</v>
      </c>
      <c r="D90" s="6">
        <v>44562</v>
      </c>
      <c r="E90" s="20">
        <v>525</v>
      </c>
      <c r="F90" s="7">
        <v>1</v>
      </c>
      <c r="J90" s="16"/>
    </row>
    <row r="91" spans="1:10" ht="30.75" thickBot="1" x14ac:dyDescent="0.3">
      <c r="A91" s="4">
        <v>90</v>
      </c>
      <c r="B91" s="5" t="s">
        <v>6</v>
      </c>
      <c r="C91" s="5" t="s">
        <v>26</v>
      </c>
      <c r="D91" s="6">
        <v>44894</v>
      </c>
      <c r="E91" s="20">
        <v>405</v>
      </c>
      <c r="F91" s="7">
        <v>1</v>
      </c>
      <c r="J91" s="16"/>
    </row>
    <row r="92" spans="1:10" ht="15.75" thickBot="1" x14ac:dyDescent="0.3">
      <c r="A92" s="8">
        <v>91</v>
      </c>
      <c r="B92" s="9" t="s">
        <v>8</v>
      </c>
      <c r="C92" s="9" t="s">
        <v>27</v>
      </c>
      <c r="D92" s="10">
        <v>44961</v>
      </c>
      <c r="E92" s="21">
        <v>645</v>
      </c>
      <c r="F92" s="11">
        <v>1</v>
      </c>
      <c r="J92" s="16"/>
    </row>
    <row r="93" spans="1:10" ht="30.75" thickBot="1" x14ac:dyDescent="0.3">
      <c r="A93" s="8">
        <v>92</v>
      </c>
      <c r="B93" s="9" t="s">
        <v>10</v>
      </c>
      <c r="C93" s="9" t="s">
        <v>28</v>
      </c>
      <c r="D93" s="10">
        <v>44890</v>
      </c>
      <c r="E93" s="21">
        <v>453</v>
      </c>
      <c r="F93" s="11">
        <v>1</v>
      </c>
      <c r="J93" s="16"/>
    </row>
    <row r="94" spans="1:10" ht="30.75" thickBot="1" x14ac:dyDescent="0.3">
      <c r="A94" s="4">
        <v>93</v>
      </c>
      <c r="B94" s="5" t="s">
        <v>12</v>
      </c>
      <c r="C94" s="5" t="s">
        <v>29</v>
      </c>
      <c r="D94" s="6">
        <v>44996</v>
      </c>
      <c r="E94" s="20">
        <v>776</v>
      </c>
      <c r="F94" s="7">
        <v>1</v>
      </c>
      <c r="J94" s="16"/>
    </row>
    <row r="95" spans="1:10" ht="30.75" thickBot="1" x14ac:dyDescent="0.3">
      <c r="A95" s="4">
        <v>94</v>
      </c>
      <c r="B95" s="5" t="s">
        <v>14</v>
      </c>
      <c r="C95" s="5" t="s">
        <v>30</v>
      </c>
      <c r="D95" s="6">
        <v>44726</v>
      </c>
      <c r="E95" s="20">
        <v>656</v>
      </c>
      <c r="F95" s="7">
        <v>1</v>
      </c>
      <c r="J95" s="16"/>
    </row>
    <row r="96" spans="1:10" ht="30.75" thickBot="1" x14ac:dyDescent="0.3">
      <c r="A96" s="8">
        <v>95</v>
      </c>
      <c r="B96" s="9" t="s">
        <v>16</v>
      </c>
      <c r="C96" s="9" t="s">
        <v>31</v>
      </c>
      <c r="D96" s="10">
        <v>45047</v>
      </c>
      <c r="E96" s="21">
        <v>705</v>
      </c>
      <c r="F96" s="11">
        <v>1</v>
      </c>
      <c r="J96" s="16"/>
    </row>
    <row r="97" spans="1:10" ht="15.75" thickBot="1" x14ac:dyDescent="0.3">
      <c r="A97" s="8">
        <v>96</v>
      </c>
      <c r="B97" s="9" t="s">
        <v>18</v>
      </c>
      <c r="C97" s="9" t="s">
        <v>32</v>
      </c>
      <c r="D97" s="10">
        <v>44890</v>
      </c>
      <c r="E97" s="21">
        <v>693</v>
      </c>
      <c r="F97" s="11">
        <v>1</v>
      </c>
      <c r="J97" s="16"/>
    </row>
    <row r="98" spans="1:10" ht="15.75" thickBot="1" x14ac:dyDescent="0.3">
      <c r="A98" s="4">
        <v>97</v>
      </c>
      <c r="B98" s="5" t="s">
        <v>20</v>
      </c>
      <c r="C98" s="5" t="s">
        <v>33</v>
      </c>
      <c r="D98" s="6">
        <v>44800</v>
      </c>
      <c r="E98" s="20">
        <v>599</v>
      </c>
      <c r="F98" s="7">
        <v>1</v>
      </c>
      <c r="J98" s="16"/>
    </row>
    <row r="99" spans="1:10" ht="30.75" thickBot="1" x14ac:dyDescent="0.3">
      <c r="A99" s="4">
        <v>98</v>
      </c>
      <c r="B99" s="5" t="s">
        <v>22</v>
      </c>
      <c r="C99" s="5" t="s">
        <v>34</v>
      </c>
      <c r="D99" s="6">
        <v>44903</v>
      </c>
      <c r="E99" s="20">
        <v>443</v>
      </c>
      <c r="F99" s="7">
        <v>1</v>
      </c>
      <c r="J99" s="16"/>
    </row>
    <row r="100" spans="1:10" ht="30.75" thickBot="1" x14ac:dyDescent="0.3">
      <c r="A100" s="8">
        <v>99</v>
      </c>
      <c r="B100" s="9" t="s">
        <v>24</v>
      </c>
      <c r="C100" s="9" t="s">
        <v>35</v>
      </c>
      <c r="D100" s="10">
        <v>44900</v>
      </c>
      <c r="E100" s="21">
        <v>910</v>
      </c>
      <c r="F100" s="11">
        <v>1</v>
      </c>
      <c r="J100" s="16"/>
    </row>
    <row r="101" spans="1:10" ht="30.75" thickBot="1" x14ac:dyDescent="0.3">
      <c r="A101" s="8">
        <v>100</v>
      </c>
      <c r="B101" s="9" t="s">
        <v>6</v>
      </c>
      <c r="C101" s="9" t="s">
        <v>36</v>
      </c>
      <c r="D101" s="10">
        <v>44753</v>
      </c>
      <c r="E101" s="21">
        <v>660</v>
      </c>
      <c r="F101" s="11">
        <v>1</v>
      </c>
      <c r="J101" s="16"/>
    </row>
    <row r="102" spans="1:10" ht="15.75" thickBot="1" x14ac:dyDescent="0.3">
      <c r="A102" s="4">
        <v>101</v>
      </c>
      <c r="B102" s="5" t="s">
        <v>8</v>
      </c>
      <c r="C102" s="5" t="s">
        <v>37</v>
      </c>
      <c r="D102" s="6">
        <v>44793</v>
      </c>
      <c r="E102" s="20">
        <v>960</v>
      </c>
      <c r="F102" s="7">
        <v>1</v>
      </c>
      <c r="J102" s="16"/>
    </row>
    <row r="103" spans="1:10" ht="30.75" thickBot="1" x14ac:dyDescent="0.3">
      <c r="A103" s="4">
        <v>102</v>
      </c>
      <c r="B103" s="5" t="s">
        <v>10</v>
      </c>
      <c r="C103" s="5" t="s">
        <v>38</v>
      </c>
      <c r="D103" s="6">
        <v>44732</v>
      </c>
      <c r="E103" s="20">
        <v>1000</v>
      </c>
      <c r="F103" s="7">
        <v>1</v>
      </c>
      <c r="J103" s="16"/>
    </row>
    <row r="104" spans="1:10" ht="30.75" thickBot="1" x14ac:dyDescent="0.3">
      <c r="A104" s="8">
        <v>103</v>
      </c>
      <c r="B104" s="9" t="s">
        <v>12</v>
      </c>
      <c r="C104" s="9" t="s">
        <v>39</v>
      </c>
      <c r="D104" s="10">
        <v>44939</v>
      </c>
      <c r="E104" s="21">
        <v>966</v>
      </c>
      <c r="F104" s="11">
        <v>1</v>
      </c>
      <c r="J104" s="16"/>
    </row>
    <row r="105" spans="1:10" ht="30.75" thickBot="1" x14ac:dyDescent="0.3">
      <c r="A105" s="8">
        <v>104</v>
      </c>
      <c r="B105" s="9" t="s">
        <v>14</v>
      </c>
      <c r="C105" s="9" t="s">
        <v>40</v>
      </c>
      <c r="D105" s="10">
        <v>44891</v>
      </c>
      <c r="E105" s="21">
        <v>803</v>
      </c>
      <c r="F105" s="11">
        <v>1</v>
      </c>
      <c r="J105" s="16"/>
    </row>
    <row r="106" spans="1:10" ht="30.75" thickBot="1" x14ac:dyDescent="0.3">
      <c r="A106" s="4">
        <v>105</v>
      </c>
      <c r="B106" s="5" t="s">
        <v>16</v>
      </c>
      <c r="C106" s="5" t="s">
        <v>41</v>
      </c>
      <c r="D106" s="6">
        <v>44902</v>
      </c>
      <c r="E106" s="20">
        <v>923</v>
      </c>
      <c r="F106" s="7">
        <v>1</v>
      </c>
      <c r="J106" s="16"/>
    </row>
    <row r="107" spans="1:10" ht="15.75" thickBot="1" x14ac:dyDescent="0.3">
      <c r="A107" s="4">
        <v>106</v>
      </c>
      <c r="B107" s="5" t="s">
        <v>18</v>
      </c>
      <c r="C107" s="5" t="s">
        <v>42</v>
      </c>
      <c r="D107" s="6">
        <v>44772</v>
      </c>
      <c r="E107" s="20">
        <v>785</v>
      </c>
      <c r="F107" s="7">
        <v>1</v>
      </c>
      <c r="J107" s="16"/>
    </row>
    <row r="108" spans="1:10" ht="15.75" thickBot="1" x14ac:dyDescent="0.3">
      <c r="A108" s="8">
        <v>107</v>
      </c>
      <c r="B108" s="9" t="s">
        <v>20</v>
      </c>
      <c r="C108" s="9" t="s">
        <v>43</v>
      </c>
      <c r="D108" s="10">
        <v>44983</v>
      </c>
      <c r="E108" s="21">
        <v>662</v>
      </c>
      <c r="F108" s="11">
        <v>1</v>
      </c>
      <c r="J108" s="16"/>
    </row>
    <row r="109" spans="1:10" ht="30.75" thickBot="1" x14ac:dyDescent="0.3">
      <c r="A109" s="8">
        <v>108</v>
      </c>
      <c r="B109" s="9" t="s">
        <v>22</v>
      </c>
      <c r="C109" s="9" t="s">
        <v>44</v>
      </c>
      <c r="D109" s="10">
        <v>44900</v>
      </c>
      <c r="E109" s="21">
        <v>696</v>
      </c>
      <c r="F109" s="11">
        <v>1</v>
      </c>
      <c r="J109" s="16"/>
    </row>
    <row r="110" spans="1:10" ht="30.75" thickBot="1" x14ac:dyDescent="0.3">
      <c r="A110" s="4">
        <v>109</v>
      </c>
      <c r="B110" s="5" t="s">
        <v>24</v>
      </c>
      <c r="C110" s="5" t="s">
        <v>45</v>
      </c>
      <c r="D110" s="6">
        <v>44977</v>
      </c>
      <c r="E110" s="20">
        <v>992</v>
      </c>
      <c r="F110" s="7">
        <v>1</v>
      </c>
      <c r="J110" s="16"/>
    </row>
    <row r="111" spans="1:10" ht="30.75" thickBot="1" x14ac:dyDescent="0.3">
      <c r="A111" s="4">
        <v>110</v>
      </c>
      <c r="B111" s="5" t="s">
        <v>6</v>
      </c>
      <c r="C111" s="5" t="s">
        <v>7</v>
      </c>
      <c r="D111" s="6">
        <v>44771</v>
      </c>
      <c r="E111" s="20">
        <v>445</v>
      </c>
      <c r="F111" s="7">
        <v>1</v>
      </c>
      <c r="J111" s="16"/>
    </row>
    <row r="112" spans="1:10" ht="15.75" thickBot="1" x14ac:dyDescent="0.3">
      <c r="A112" s="8">
        <v>111</v>
      </c>
      <c r="B112" s="9" t="s">
        <v>8</v>
      </c>
      <c r="C112" s="9" t="s">
        <v>9</v>
      </c>
      <c r="D112" s="10">
        <v>44585</v>
      </c>
      <c r="E112" s="21">
        <v>876</v>
      </c>
      <c r="F112" s="11">
        <v>1</v>
      </c>
      <c r="J112" s="16"/>
    </row>
    <row r="113" spans="1:10" ht="30.75" thickBot="1" x14ac:dyDescent="0.3">
      <c r="A113" s="8">
        <v>112</v>
      </c>
      <c r="B113" s="9" t="s">
        <v>10</v>
      </c>
      <c r="C113" s="9" t="s">
        <v>11</v>
      </c>
      <c r="D113" s="10">
        <v>45017</v>
      </c>
      <c r="E113" s="21">
        <v>667</v>
      </c>
      <c r="F113" s="11">
        <v>1</v>
      </c>
      <c r="J113" s="16"/>
    </row>
    <row r="114" spans="1:10" ht="30.75" thickBot="1" x14ac:dyDescent="0.3">
      <c r="A114" s="4">
        <v>113</v>
      </c>
      <c r="B114" s="5" t="s">
        <v>12</v>
      </c>
      <c r="C114" s="5" t="s">
        <v>13</v>
      </c>
      <c r="D114" s="6">
        <v>44752</v>
      </c>
      <c r="E114" s="20">
        <v>696</v>
      </c>
      <c r="F114" s="7">
        <v>1</v>
      </c>
      <c r="J114" s="16"/>
    </row>
    <row r="115" spans="1:10" ht="30.75" thickBot="1" x14ac:dyDescent="0.3">
      <c r="A115" s="4">
        <v>114</v>
      </c>
      <c r="B115" s="5" t="s">
        <v>14</v>
      </c>
      <c r="C115" s="5" t="s">
        <v>15</v>
      </c>
      <c r="D115" s="6">
        <v>44792</v>
      </c>
      <c r="E115" s="20">
        <v>824</v>
      </c>
      <c r="F115" s="7">
        <v>1</v>
      </c>
      <c r="J115" s="16"/>
    </row>
    <row r="116" spans="1:10" ht="30.75" thickBot="1" x14ac:dyDescent="0.3">
      <c r="A116" s="8">
        <v>115</v>
      </c>
      <c r="B116" s="9" t="s">
        <v>16</v>
      </c>
      <c r="C116" s="9" t="s">
        <v>17</v>
      </c>
      <c r="D116" s="10">
        <v>44660</v>
      </c>
      <c r="E116" s="21">
        <v>860</v>
      </c>
      <c r="F116" s="11">
        <v>1</v>
      </c>
      <c r="J116" s="16"/>
    </row>
    <row r="117" spans="1:10" ht="15.75" thickBot="1" x14ac:dyDescent="0.3">
      <c r="A117" s="8">
        <v>116</v>
      </c>
      <c r="B117" s="9" t="s">
        <v>18</v>
      </c>
      <c r="C117" s="9" t="s">
        <v>19</v>
      </c>
      <c r="D117" s="10">
        <v>45047</v>
      </c>
      <c r="E117" s="21">
        <v>805</v>
      </c>
      <c r="F117" s="11">
        <v>1</v>
      </c>
      <c r="J117" s="16"/>
    </row>
    <row r="118" spans="1:10" ht="15.75" thickBot="1" x14ac:dyDescent="0.3">
      <c r="A118" s="4">
        <v>117</v>
      </c>
      <c r="B118" s="5" t="s">
        <v>20</v>
      </c>
      <c r="C118" s="5" t="s">
        <v>21</v>
      </c>
      <c r="D118" s="6">
        <v>44822</v>
      </c>
      <c r="E118" s="20">
        <v>627</v>
      </c>
      <c r="F118" s="7">
        <v>1</v>
      </c>
      <c r="J118" s="16"/>
    </row>
    <row r="119" spans="1:10" ht="30.75" thickBot="1" x14ac:dyDescent="0.3">
      <c r="A119" s="4">
        <v>118</v>
      </c>
      <c r="B119" s="5" t="s">
        <v>22</v>
      </c>
      <c r="C119" s="5" t="s">
        <v>23</v>
      </c>
      <c r="D119" s="6">
        <v>44637</v>
      </c>
      <c r="E119" s="20">
        <v>866</v>
      </c>
      <c r="F119" s="7">
        <v>1</v>
      </c>
      <c r="J119" s="16"/>
    </row>
    <row r="120" spans="1:10" ht="30.75" thickBot="1" x14ac:dyDescent="0.3">
      <c r="A120" s="8">
        <v>119</v>
      </c>
      <c r="B120" s="9" t="s">
        <v>24</v>
      </c>
      <c r="C120" s="9" t="s">
        <v>25</v>
      </c>
      <c r="D120" s="10">
        <v>44562</v>
      </c>
      <c r="E120" s="21">
        <v>967</v>
      </c>
      <c r="F120" s="11">
        <v>1</v>
      </c>
      <c r="J120" s="16"/>
    </row>
    <row r="121" spans="1:10" ht="30.75" thickBot="1" x14ac:dyDescent="0.3">
      <c r="A121" s="8">
        <v>120</v>
      </c>
      <c r="B121" s="9" t="s">
        <v>6</v>
      </c>
      <c r="C121" s="9" t="s">
        <v>26</v>
      </c>
      <c r="D121" s="10">
        <v>44894</v>
      </c>
      <c r="E121" s="21">
        <v>976</v>
      </c>
      <c r="F121" s="11">
        <v>1</v>
      </c>
      <c r="J121" s="16"/>
    </row>
    <row r="122" spans="1:10" ht="15.75" thickBot="1" x14ac:dyDescent="0.3">
      <c r="A122" s="4">
        <v>121</v>
      </c>
      <c r="B122" s="5" t="s">
        <v>8</v>
      </c>
      <c r="C122" s="5" t="s">
        <v>27</v>
      </c>
      <c r="D122" s="6">
        <v>44961</v>
      </c>
      <c r="E122" s="20">
        <v>493</v>
      </c>
      <c r="F122" s="7">
        <v>1</v>
      </c>
      <c r="J122" s="16"/>
    </row>
    <row r="123" spans="1:10" ht="30.75" thickBot="1" x14ac:dyDescent="0.3">
      <c r="A123" s="4">
        <v>122</v>
      </c>
      <c r="B123" s="5" t="s">
        <v>6</v>
      </c>
      <c r="C123" s="5" t="s">
        <v>7</v>
      </c>
      <c r="D123" s="6">
        <v>44771</v>
      </c>
      <c r="E123" s="20">
        <v>678</v>
      </c>
      <c r="F123" s="7">
        <v>1</v>
      </c>
      <c r="J123" s="16"/>
    </row>
    <row r="124" spans="1:10" ht="15.75" thickBot="1" x14ac:dyDescent="0.3">
      <c r="A124" s="8">
        <v>123</v>
      </c>
      <c r="B124" s="9" t="s">
        <v>8</v>
      </c>
      <c r="C124" s="9" t="s">
        <v>9</v>
      </c>
      <c r="D124" s="10">
        <v>44585</v>
      </c>
      <c r="E124" s="21">
        <v>924</v>
      </c>
      <c r="F124" s="11">
        <v>1</v>
      </c>
      <c r="J124" s="16"/>
    </row>
    <row r="125" spans="1:10" ht="30.75" thickBot="1" x14ac:dyDescent="0.3">
      <c r="A125" s="8">
        <v>124</v>
      </c>
      <c r="B125" s="9" t="s">
        <v>10</v>
      </c>
      <c r="C125" s="9" t="s">
        <v>11</v>
      </c>
      <c r="D125" s="10">
        <v>45017</v>
      </c>
      <c r="E125" s="21">
        <v>619</v>
      </c>
      <c r="F125" s="11">
        <v>1</v>
      </c>
      <c r="J125" s="16"/>
    </row>
    <row r="126" spans="1:10" ht="30.75" thickBot="1" x14ac:dyDescent="0.3">
      <c r="A126" s="4">
        <v>125</v>
      </c>
      <c r="B126" s="5" t="s">
        <v>12</v>
      </c>
      <c r="C126" s="5" t="s">
        <v>13</v>
      </c>
      <c r="D126" s="6">
        <v>44752</v>
      </c>
      <c r="E126" s="20">
        <v>428</v>
      </c>
      <c r="F126" s="7">
        <v>1</v>
      </c>
      <c r="J126" s="16"/>
    </row>
    <row r="127" spans="1:10" ht="30.75" thickBot="1" x14ac:dyDescent="0.3">
      <c r="A127" s="4">
        <v>126</v>
      </c>
      <c r="B127" s="5" t="s">
        <v>14</v>
      </c>
      <c r="C127" s="5" t="s">
        <v>15</v>
      </c>
      <c r="D127" s="6">
        <v>44792</v>
      </c>
      <c r="E127" s="20">
        <v>429</v>
      </c>
      <c r="F127" s="7">
        <v>1</v>
      </c>
      <c r="J127" s="16"/>
    </row>
    <row r="128" spans="1:10" ht="30.75" thickBot="1" x14ac:dyDescent="0.3">
      <c r="A128" s="8">
        <v>127</v>
      </c>
      <c r="B128" s="9" t="s">
        <v>16</v>
      </c>
      <c r="C128" s="9" t="s">
        <v>17</v>
      </c>
      <c r="D128" s="10">
        <v>44660</v>
      </c>
      <c r="E128" s="21">
        <v>986</v>
      </c>
      <c r="F128" s="11">
        <v>1</v>
      </c>
      <c r="J128" s="16"/>
    </row>
    <row r="129" spans="1:10" ht="15.75" thickBot="1" x14ac:dyDescent="0.3">
      <c r="A129" s="8">
        <v>128</v>
      </c>
      <c r="B129" s="9" t="s">
        <v>18</v>
      </c>
      <c r="C129" s="9" t="s">
        <v>19</v>
      </c>
      <c r="D129" s="10">
        <v>45047</v>
      </c>
      <c r="E129" s="21">
        <v>416</v>
      </c>
      <c r="F129" s="11">
        <v>1</v>
      </c>
      <c r="J129" s="16"/>
    </row>
    <row r="130" spans="1:10" ht="15.75" thickBot="1" x14ac:dyDescent="0.3">
      <c r="A130" s="4">
        <v>129</v>
      </c>
      <c r="B130" s="5" t="s">
        <v>20</v>
      </c>
      <c r="C130" s="5" t="s">
        <v>21</v>
      </c>
      <c r="D130" s="6">
        <v>44822</v>
      </c>
      <c r="E130" s="20">
        <v>711</v>
      </c>
      <c r="F130" s="7">
        <v>1</v>
      </c>
      <c r="J130" s="16"/>
    </row>
    <row r="131" spans="1:10" ht="30.75" thickBot="1" x14ac:dyDescent="0.3">
      <c r="A131" s="4">
        <v>130</v>
      </c>
      <c r="B131" s="5" t="s">
        <v>22</v>
      </c>
      <c r="C131" s="5" t="s">
        <v>23</v>
      </c>
      <c r="D131" s="6">
        <v>44637</v>
      </c>
      <c r="E131" s="20">
        <v>435</v>
      </c>
      <c r="F131" s="7">
        <v>1</v>
      </c>
      <c r="J131" s="16"/>
    </row>
    <row r="132" spans="1:10" ht="30.75" thickBot="1" x14ac:dyDescent="0.3">
      <c r="A132" s="8">
        <v>131</v>
      </c>
      <c r="B132" s="9" t="s">
        <v>24</v>
      </c>
      <c r="C132" s="9" t="s">
        <v>25</v>
      </c>
      <c r="D132" s="10">
        <v>44562</v>
      </c>
      <c r="E132" s="21">
        <v>925</v>
      </c>
      <c r="F132" s="11">
        <v>1</v>
      </c>
      <c r="J132" s="16"/>
    </row>
    <row r="133" spans="1:10" ht="30.75" thickBot="1" x14ac:dyDescent="0.3">
      <c r="A133" s="8">
        <v>132</v>
      </c>
      <c r="B133" s="9" t="s">
        <v>6</v>
      </c>
      <c r="C133" s="9" t="s">
        <v>26</v>
      </c>
      <c r="D133" s="10">
        <v>44894</v>
      </c>
      <c r="E133" s="21">
        <v>505</v>
      </c>
      <c r="F133" s="11">
        <v>1</v>
      </c>
      <c r="J133" s="16"/>
    </row>
    <row r="134" spans="1:10" ht="15.75" thickBot="1" x14ac:dyDescent="0.3">
      <c r="A134" s="4">
        <v>133</v>
      </c>
      <c r="B134" s="5" t="s">
        <v>8</v>
      </c>
      <c r="C134" s="5" t="s">
        <v>27</v>
      </c>
      <c r="D134" s="6">
        <v>44961</v>
      </c>
      <c r="E134" s="20">
        <v>457</v>
      </c>
      <c r="F134" s="7">
        <v>1</v>
      </c>
      <c r="J134" s="16"/>
    </row>
    <row r="135" spans="1:10" ht="30.75" thickBot="1" x14ac:dyDescent="0.3">
      <c r="A135" s="4">
        <v>134</v>
      </c>
      <c r="B135" s="5" t="s">
        <v>10</v>
      </c>
      <c r="C135" s="5" t="s">
        <v>28</v>
      </c>
      <c r="D135" s="6">
        <v>44890</v>
      </c>
      <c r="E135" s="20">
        <v>565</v>
      </c>
      <c r="F135" s="7">
        <v>1</v>
      </c>
      <c r="J135" s="16"/>
    </row>
    <row r="136" spans="1:10" ht="30.75" thickBot="1" x14ac:dyDescent="0.3">
      <c r="A136" s="8">
        <v>135</v>
      </c>
      <c r="B136" s="9" t="s">
        <v>12</v>
      </c>
      <c r="C136" s="9" t="s">
        <v>29</v>
      </c>
      <c r="D136" s="10">
        <v>44996</v>
      </c>
      <c r="E136" s="21">
        <v>520</v>
      </c>
      <c r="F136" s="11">
        <v>1</v>
      </c>
      <c r="J136" s="16"/>
    </row>
    <row r="137" spans="1:10" ht="30.75" thickBot="1" x14ac:dyDescent="0.3">
      <c r="A137" s="8">
        <v>136</v>
      </c>
      <c r="B137" s="9" t="s">
        <v>14</v>
      </c>
      <c r="C137" s="9" t="s">
        <v>30</v>
      </c>
      <c r="D137" s="10">
        <v>44726</v>
      </c>
      <c r="E137" s="21">
        <v>582</v>
      </c>
      <c r="F137" s="11">
        <v>1</v>
      </c>
      <c r="J137" s="16"/>
    </row>
    <row r="138" spans="1:10" ht="30.75" thickBot="1" x14ac:dyDescent="0.3">
      <c r="A138" s="4">
        <v>137</v>
      </c>
      <c r="B138" s="5" t="s">
        <v>16</v>
      </c>
      <c r="C138" s="5" t="s">
        <v>31</v>
      </c>
      <c r="D138" s="6">
        <v>45047</v>
      </c>
      <c r="E138" s="20">
        <v>996</v>
      </c>
      <c r="F138" s="7">
        <v>1</v>
      </c>
      <c r="J138" s="16"/>
    </row>
    <row r="139" spans="1:10" ht="15.75" thickBot="1" x14ac:dyDescent="0.3">
      <c r="A139" s="4">
        <v>138</v>
      </c>
      <c r="B139" s="5" t="s">
        <v>18</v>
      </c>
      <c r="C139" s="5" t="s">
        <v>32</v>
      </c>
      <c r="D139" s="6">
        <v>44890</v>
      </c>
      <c r="E139" s="20">
        <v>835</v>
      </c>
      <c r="F139" s="7">
        <v>1</v>
      </c>
      <c r="J139" s="16"/>
    </row>
    <row r="140" spans="1:10" ht="15.75" thickBot="1" x14ac:dyDescent="0.3">
      <c r="A140" s="8">
        <v>139</v>
      </c>
      <c r="B140" s="9" t="s">
        <v>20</v>
      </c>
      <c r="C140" s="9" t="s">
        <v>33</v>
      </c>
      <c r="D140" s="10">
        <v>44800</v>
      </c>
      <c r="E140" s="21">
        <v>679</v>
      </c>
      <c r="F140" s="11">
        <v>1</v>
      </c>
      <c r="J140" s="16"/>
    </row>
    <row r="141" spans="1:10" ht="30.75" thickBot="1" x14ac:dyDescent="0.3">
      <c r="A141" s="8">
        <v>140</v>
      </c>
      <c r="B141" s="9" t="s">
        <v>22</v>
      </c>
      <c r="C141" s="9" t="s">
        <v>34</v>
      </c>
      <c r="D141" s="10">
        <v>44903</v>
      </c>
      <c r="E141" s="21">
        <v>471</v>
      </c>
      <c r="F141" s="11">
        <v>1</v>
      </c>
      <c r="J141" s="16"/>
    </row>
    <row r="142" spans="1:10" ht="30.75" thickBot="1" x14ac:dyDescent="0.3">
      <c r="A142" s="4">
        <v>141</v>
      </c>
      <c r="B142" s="5" t="s">
        <v>24</v>
      </c>
      <c r="C142" s="5" t="s">
        <v>35</v>
      </c>
      <c r="D142" s="6">
        <v>44900</v>
      </c>
      <c r="E142" s="20">
        <v>504</v>
      </c>
      <c r="F142" s="7">
        <v>1</v>
      </c>
      <c r="J142" s="16"/>
    </row>
    <row r="143" spans="1:10" ht="30.75" thickBot="1" x14ac:dyDescent="0.3">
      <c r="A143" s="4">
        <v>142</v>
      </c>
      <c r="B143" s="5" t="s">
        <v>6</v>
      </c>
      <c r="C143" s="5" t="s">
        <v>36</v>
      </c>
      <c r="D143" s="6">
        <v>44753</v>
      </c>
      <c r="E143" s="20">
        <v>711</v>
      </c>
      <c r="F143" s="7">
        <v>1</v>
      </c>
      <c r="J143" s="16"/>
    </row>
    <row r="144" spans="1:10" ht="15.75" thickBot="1" x14ac:dyDescent="0.3">
      <c r="A144" s="8">
        <v>143</v>
      </c>
      <c r="B144" s="9" t="s">
        <v>8</v>
      </c>
      <c r="C144" s="9" t="s">
        <v>37</v>
      </c>
      <c r="D144" s="10">
        <v>44793</v>
      </c>
      <c r="E144" s="21">
        <v>582</v>
      </c>
      <c r="F144" s="11">
        <v>1</v>
      </c>
      <c r="J144" s="16"/>
    </row>
    <row r="145" spans="1:10" ht="30.75" thickBot="1" x14ac:dyDescent="0.3">
      <c r="A145" s="8">
        <v>144</v>
      </c>
      <c r="B145" s="9" t="s">
        <v>10</v>
      </c>
      <c r="C145" s="9" t="s">
        <v>38</v>
      </c>
      <c r="D145" s="10">
        <v>44732</v>
      </c>
      <c r="E145" s="21">
        <v>683</v>
      </c>
      <c r="F145" s="11">
        <v>1</v>
      </c>
      <c r="J145" s="16"/>
    </row>
    <row r="146" spans="1:10" ht="30.75" thickBot="1" x14ac:dyDescent="0.3">
      <c r="A146" s="4">
        <v>145</v>
      </c>
      <c r="B146" s="5" t="s">
        <v>12</v>
      </c>
      <c r="C146" s="5" t="s">
        <v>39</v>
      </c>
      <c r="D146" s="6">
        <v>44939</v>
      </c>
      <c r="E146" s="20">
        <v>462</v>
      </c>
      <c r="F146" s="7">
        <v>1</v>
      </c>
      <c r="J146" s="16"/>
    </row>
    <row r="147" spans="1:10" ht="30.75" thickBot="1" x14ac:dyDescent="0.3">
      <c r="A147" s="4">
        <v>146</v>
      </c>
      <c r="B147" s="5" t="s">
        <v>14</v>
      </c>
      <c r="C147" s="5" t="s">
        <v>40</v>
      </c>
      <c r="D147" s="6">
        <v>44891</v>
      </c>
      <c r="E147" s="20">
        <v>999</v>
      </c>
      <c r="F147" s="7">
        <v>1</v>
      </c>
      <c r="J147" s="16"/>
    </row>
    <row r="148" spans="1:10" ht="30.75" thickBot="1" x14ac:dyDescent="0.3">
      <c r="A148" s="8">
        <v>147</v>
      </c>
      <c r="B148" s="9" t="s">
        <v>16</v>
      </c>
      <c r="C148" s="9" t="s">
        <v>41</v>
      </c>
      <c r="D148" s="10">
        <v>44902</v>
      </c>
      <c r="E148" s="21">
        <v>905</v>
      </c>
      <c r="F148" s="11">
        <v>1</v>
      </c>
      <c r="J148" s="16"/>
    </row>
    <row r="149" spans="1:10" ht="15.75" thickBot="1" x14ac:dyDescent="0.3">
      <c r="A149" s="8">
        <v>148</v>
      </c>
      <c r="B149" s="9" t="s">
        <v>18</v>
      </c>
      <c r="C149" s="9" t="s">
        <v>42</v>
      </c>
      <c r="D149" s="10">
        <v>44772</v>
      </c>
      <c r="E149" s="21">
        <v>595</v>
      </c>
      <c r="F149" s="11">
        <v>1</v>
      </c>
      <c r="J149" s="16"/>
    </row>
    <row r="150" spans="1:10" ht="15.75" thickBot="1" x14ac:dyDescent="0.3">
      <c r="A150" s="4">
        <v>149</v>
      </c>
      <c r="B150" s="5" t="s">
        <v>20</v>
      </c>
      <c r="C150" s="5" t="s">
        <v>43</v>
      </c>
      <c r="D150" s="6">
        <v>44983</v>
      </c>
      <c r="E150" s="20">
        <v>629</v>
      </c>
      <c r="F150" s="7">
        <v>1</v>
      </c>
      <c r="J150" s="16"/>
    </row>
    <row r="151" spans="1:10" ht="30.75" thickBot="1" x14ac:dyDescent="0.3">
      <c r="A151" s="4">
        <v>150</v>
      </c>
      <c r="B151" s="5" t="s">
        <v>22</v>
      </c>
      <c r="C151" s="5" t="s">
        <v>44</v>
      </c>
      <c r="D151" s="6">
        <v>44900</v>
      </c>
      <c r="E151" s="20">
        <v>412</v>
      </c>
      <c r="F151" s="7">
        <v>1</v>
      </c>
      <c r="J151" s="16"/>
    </row>
    <row r="152" spans="1:10" ht="30.75" thickBot="1" x14ac:dyDescent="0.3">
      <c r="A152" s="8">
        <v>151</v>
      </c>
      <c r="B152" s="9" t="s">
        <v>24</v>
      </c>
      <c r="C152" s="9" t="s">
        <v>45</v>
      </c>
      <c r="D152" s="10">
        <v>44977</v>
      </c>
      <c r="E152" s="21">
        <v>641</v>
      </c>
      <c r="F152" s="11">
        <v>1</v>
      </c>
      <c r="J152" s="16"/>
    </row>
    <row r="153" spans="1:10" ht="30.75" thickBot="1" x14ac:dyDescent="0.3">
      <c r="A153" s="8">
        <v>152</v>
      </c>
      <c r="B153" s="9" t="s">
        <v>6</v>
      </c>
      <c r="C153" s="9" t="s">
        <v>7</v>
      </c>
      <c r="D153" s="10">
        <v>44771</v>
      </c>
      <c r="E153" s="21">
        <v>895</v>
      </c>
      <c r="F153" s="11">
        <v>1</v>
      </c>
      <c r="J153" s="16"/>
    </row>
    <row r="154" spans="1:10" ht="15.75" thickBot="1" x14ac:dyDescent="0.3">
      <c r="A154" s="4">
        <v>153</v>
      </c>
      <c r="B154" s="5" t="s">
        <v>8</v>
      </c>
      <c r="C154" s="5" t="s">
        <v>9</v>
      </c>
      <c r="D154" s="6">
        <v>44585</v>
      </c>
      <c r="E154" s="20">
        <v>776</v>
      </c>
      <c r="F154" s="7">
        <v>1</v>
      </c>
      <c r="J154" s="16"/>
    </row>
    <row r="155" spans="1:10" ht="30.75" thickBot="1" x14ac:dyDescent="0.3">
      <c r="A155" s="4">
        <v>154</v>
      </c>
      <c r="B155" s="5" t="s">
        <v>10</v>
      </c>
      <c r="C155" s="5" t="s">
        <v>11</v>
      </c>
      <c r="D155" s="6">
        <v>45017</v>
      </c>
      <c r="E155" s="20">
        <v>993</v>
      </c>
      <c r="F155" s="7">
        <v>1</v>
      </c>
      <c r="J155" s="16"/>
    </row>
    <row r="156" spans="1:10" ht="30.75" thickBot="1" x14ac:dyDescent="0.3">
      <c r="A156" s="8">
        <v>155</v>
      </c>
      <c r="B156" s="9" t="s">
        <v>12</v>
      </c>
      <c r="C156" s="9" t="s">
        <v>13</v>
      </c>
      <c r="D156" s="10">
        <v>44752</v>
      </c>
      <c r="E156" s="21">
        <v>954</v>
      </c>
      <c r="F156" s="11">
        <v>1</v>
      </c>
      <c r="J156" s="16"/>
    </row>
    <row r="157" spans="1:10" ht="30.75" thickBot="1" x14ac:dyDescent="0.3">
      <c r="A157" s="8">
        <v>156</v>
      </c>
      <c r="B157" s="9" t="s">
        <v>14</v>
      </c>
      <c r="C157" s="9" t="s">
        <v>15</v>
      </c>
      <c r="D157" s="10">
        <v>44792</v>
      </c>
      <c r="E157" s="21">
        <v>699</v>
      </c>
      <c r="F157" s="11">
        <v>1</v>
      </c>
      <c r="J157" s="16"/>
    </row>
    <row r="158" spans="1:10" ht="30.75" thickBot="1" x14ac:dyDescent="0.3">
      <c r="A158" s="4">
        <v>157</v>
      </c>
      <c r="B158" s="5" t="s">
        <v>16</v>
      </c>
      <c r="C158" s="5" t="s">
        <v>17</v>
      </c>
      <c r="D158" s="6">
        <v>44660</v>
      </c>
      <c r="E158" s="20">
        <v>752</v>
      </c>
      <c r="F158" s="7">
        <v>1</v>
      </c>
      <c r="J158" s="16"/>
    </row>
    <row r="159" spans="1:10" ht="15.75" thickBot="1" x14ac:dyDescent="0.3">
      <c r="A159" s="4">
        <v>158</v>
      </c>
      <c r="B159" s="5" t="s">
        <v>18</v>
      </c>
      <c r="C159" s="5" t="s">
        <v>19</v>
      </c>
      <c r="D159" s="6">
        <v>45047</v>
      </c>
      <c r="E159" s="20">
        <v>592</v>
      </c>
      <c r="F159" s="7">
        <v>1</v>
      </c>
      <c r="J159" s="16"/>
    </row>
    <row r="160" spans="1:10" ht="15.75" thickBot="1" x14ac:dyDescent="0.3">
      <c r="A160" s="8">
        <v>159</v>
      </c>
      <c r="B160" s="9" t="s">
        <v>20</v>
      </c>
      <c r="C160" s="9" t="s">
        <v>21</v>
      </c>
      <c r="D160" s="10">
        <v>44822</v>
      </c>
      <c r="E160" s="21">
        <v>514</v>
      </c>
      <c r="F160" s="11">
        <v>1</v>
      </c>
      <c r="J160" s="16"/>
    </row>
    <row r="161" spans="1:10" ht="30.75" thickBot="1" x14ac:dyDescent="0.3">
      <c r="A161" s="8">
        <v>160</v>
      </c>
      <c r="B161" s="9" t="s">
        <v>22</v>
      </c>
      <c r="C161" s="9" t="s">
        <v>23</v>
      </c>
      <c r="D161" s="10">
        <v>44637</v>
      </c>
      <c r="E161" s="21">
        <v>644</v>
      </c>
      <c r="F161" s="11">
        <v>1</v>
      </c>
      <c r="J161" s="16"/>
    </row>
    <row r="162" spans="1:10" ht="30.75" thickBot="1" x14ac:dyDescent="0.3">
      <c r="A162" s="4">
        <v>161</v>
      </c>
      <c r="B162" s="5" t="s">
        <v>24</v>
      </c>
      <c r="C162" s="5" t="s">
        <v>25</v>
      </c>
      <c r="D162" s="6">
        <v>44562</v>
      </c>
      <c r="E162" s="20">
        <v>569</v>
      </c>
      <c r="F162" s="7">
        <v>1</v>
      </c>
      <c r="J162" s="16"/>
    </row>
    <row r="163" spans="1:10" ht="30.75" thickBot="1" x14ac:dyDescent="0.3">
      <c r="A163" s="4">
        <v>162</v>
      </c>
      <c r="B163" s="5" t="s">
        <v>6</v>
      </c>
      <c r="C163" s="5" t="s">
        <v>26</v>
      </c>
      <c r="D163" s="6">
        <v>44894</v>
      </c>
      <c r="E163" s="20">
        <v>767</v>
      </c>
      <c r="F163" s="7">
        <v>1</v>
      </c>
      <c r="J163" s="16"/>
    </row>
    <row r="164" spans="1:10" ht="15.75" thickBot="1" x14ac:dyDescent="0.3">
      <c r="A164" s="8">
        <v>163</v>
      </c>
      <c r="B164" s="9" t="s">
        <v>8</v>
      </c>
      <c r="C164" s="9" t="s">
        <v>27</v>
      </c>
      <c r="D164" s="10">
        <v>44961</v>
      </c>
      <c r="E164" s="21">
        <v>435</v>
      </c>
      <c r="F164" s="11">
        <v>1</v>
      </c>
      <c r="J164" s="16"/>
    </row>
    <row r="165" spans="1:10" ht="30.75" thickBot="1" x14ac:dyDescent="0.3">
      <c r="A165" s="8">
        <v>164</v>
      </c>
      <c r="B165" s="9" t="s">
        <v>10</v>
      </c>
      <c r="C165" s="9" t="s">
        <v>28</v>
      </c>
      <c r="D165" s="10">
        <v>44890</v>
      </c>
      <c r="E165" s="21">
        <v>626</v>
      </c>
      <c r="F165" s="11">
        <v>1</v>
      </c>
      <c r="J165" s="16"/>
    </row>
    <row r="166" spans="1:10" ht="30.75" thickBot="1" x14ac:dyDescent="0.3">
      <c r="A166" s="4">
        <v>165</v>
      </c>
      <c r="B166" s="5" t="s">
        <v>12</v>
      </c>
      <c r="C166" s="5" t="s">
        <v>29</v>
      </c>
      <c r="D166" s="6">
        <v>44996</v>
      </c>
      <c r="E166" s="20">
        <v>422</v>
      </c>
      <c r="F166" s="7">
        <v>1</v>
      </c>
      <c r="J166" s="16"/>
    </row>
    <row r="167" spans="1:10" ht="30.75" thickBot="1" x14ac:dyDescent="0.3">
      <c r="A167" s="4">
        <v>166</v>
      </c>
      <c r="B167" s="5" t="s">
        <v>14</v>
      </c>
      <c r="C167" s="5" t="s">
        <v>30</v>
      </c>
      <c r="D167" s="6">
        <v>44726</v>
      </c>
      <c r="E167" s="20">
        <v>956</v>
      </c>
      <c r="F167" s="7">
        <v>1</v>
      </c>
      <c r="J167" s="16"/>
    </row>
    <row r="168" spans="1:10" ht="30.75" thickBot="1" x14ac:dyDescent="0.3">
      <c r="A168" s="8">
        <v>167</v>
      </c>
      <c r="B168" s="9" t="s">
        <v>16</v>
      </c>
      <c r="C168" s="9" t="s">
        <v>31</v>
      </c>
      <c r="D168" s="10">
        <v>45047</v>
      </c>
      <c r="E168" s="21">
        <v>635</v>
      </c>
      <c r="F168" s="11">
        <v>1</v>
      </c>
      <c r="J168" s="16"/>
    </row>
    <row r="169" spans="1:10" ht="15.75" thickBot="1" x14ac:dyDescent="0.3">
      <c r="A169" s="8">
        <v>168</v>
      </c>
      <c r="B169" s="9" t="s">
        <v>18</v>
      </c>
      <c r="C169" s="9" t="s">
        <v>32</v>
      </c>
      <c r="D169" s="10">
        <v>44890</v>
      </c>
      <c r="E169" s="21">
        <v>682</v>
      </c>
      <c r="F169" s="11">
        <v>1</v>
      </c>
      <c r="J169" s="16"/>
    </row>
    <row r="170" spans="1:10" ht="15.75" thickBot="1" x14ac:dyDescent="0.3">
      <c r="A170" s="4">
        <v>169</v>
      </c>
      <c r="B170" s="5" t="s">
        <v>20</v>
      </c>
      <c r="C170" s="5" t="s">
        <v>33</v>
      </c>
      <c r="D170" s="6">
        <v>44800</v>
      </c>
      <c r="E170" s="20">
        <v>961</v>
      </c>
      <c r="F170" s="7">
        <v>1</v>
      </c>
      <c r="J170" s="16"/>
    </row>
    <row r="171" spans="1:10" ht="30.75" thickBot="1" x14ac:dyDescent="0.3">
      <c r="A171" s="4">
        <v>170</v>
      </c>
      <c r="B171" s="5" t="s">
        <v>22</v>
      </c>
      <c r="C171" s="5" t="s">
        <v>34</v>
      </c>
      <c r="D171" s="6">
        <v>44903</v>
      </c>
      <c r="E171" s="20">
        <v>745</v>
      </c>
      <c r="F171" s="7">
        <v>1</v>
      </c>
      <c r="J171" s="16"/>
    </row>
    <row r="172" spans="1:10" ht="30.75" thickBot="1" x14ac:dyDescent="0.3">
      <c r="A172" s="8">
        <v>171</v>
      </c>
      <c r="B172" s="9" t="s">
        <v>24</v>
      </c>
      <c r="C172" s="9" t="s">
        <v>35</v>
      </c>
      <c r="D172" s="10">
        <v>44900</v>
      </c>
      <c r="E172" s="21">
        <v>737</v>
      </c>
      <c r="F172" s="11">
        <v>1</v>
      </c>
      <c r="J172" s="16"/>
    </row>
    <row r="173" spans="1:10" ht="30.75" thickBot="1" x14ac:dyDescent="0.3">
      <c r="A173" s="8">
        <v>172</v>
      </c>
      <c r="B173" s="9" t="s">
        <v>6</v>
      </c>
      <c r="C173" s="9" t="s">
        <v>36</v>
      </c>
      <c r="D173" s="10">
        <v>44753</v>
      </c>
      <c r="E173" s="21">
        <v>576</v>
      </c>
      <c r="F173" s="11">
        <v>1</v>
      </c>
      <c r="J173" s="16"/>
    </row>
    <row r="174" spans="1:10" ht="15.75" thickBot="1" x14ac:dyDescent="0.3">
      <c r="A174" s="4">
        <v>173</v>
      </c>
      <c r="B174" s="5" t="s">
        <v>8</v>
      </c>
      <c r="C174" s="5" t="s">
        <v>37</v>
      </c>
      <c r="D174" s="6">
        <v>44793</v>
      </c>
      <c r="E174" s="20">
        <v>683</v>
      </c>
      <c r="F174" s="7">
        <v>1</v>
      </c>
      <c r="J174" s="16"/>
    </row>
    <row r="175" spans="1:10" ht="30.75" thickBot="1" x14ac:dyDescent="0.3">
      <c r="A175" s="4">
        <v>174</v>
      </c>
      <c r="B175" s="5" t="s">
        <v>10</v>
      </c>
      <c r="C175" s="5" t="s">
        <v>38</v>
      </c>
      <c r="D175" s="6">
        <v>44732</v>
      </c>
      <c r="E175" s="20">
        <v>773</v>
      </c>
      <c r="F175" s="7">
        <v>1</v>
      </c>
      <c r="J175" s="16"/>
    </row>
    <row r="176" spans="1:10" ht="30.75" thickBot="1" x14ac:dyDescent="0.3">
      <c r="A176" s="8">
        <v>175</v>
      </c>
      <c r="B176" s="9" t="s">
        <v>12</v>
      </c>
      <c r="C176" s="9" t="s">
        <v>39</v>
      </c>
      <c r="D176" s="10">
        <v>44939</v>
      </c>
      <c r="E176" s="21">
        <v>910</v>
      </c>
      <c r="F176" s="11">
        <v>1</v>
      </c>
      <c r="J176" s="16"/>
    </row>
    <row r="177" spans="1:10" ht="30.75" thickBot="1" x14ac:dyDescent="0.3">
      <c r="A177" s="8">
        <v>176</v>
      </c>
      <c r="B177" s="9" t="s">
        <v>14</v>
      </c>
      <c r="C177" s="9" t="s">
        <v>40</v>
      </c>
      <c r="D177" s="10">
        <v>44891</v>
      </c>
      <c r="E177" s="21">
        <v>590</v>
      </c>
      <c r="F177" s="11">
        <v>1</v>
      </c>
      <c r="J177" s="16"/>
    </row>
    <row r="178" spans="1:10" ht="30.75" thickBot="1" x14ac:dyDescent="0.3">
      <c r="A178" s="4">
        <v>177</v>
      </c>
      <c r="B178" s="5" t="s">
        <v>16</v>
      </c>
      <c r="C178" s="5" t="s">
        <v>41</v>
      </c>
      <c r="D178" s="6">
        <v>44902</v>
      </c>
      <c r="E178" s="20">
        <v>694</v>
      </c>
      <c r="F178" s="7">
        <v>1</v>
      </c>
      <c r="J178" s="16"/>
    </row>
    <row r="179" spans="1:10" ht="15.75" thickBot="1" x14ac:dyDescent="0.3">
      <c r="A179" s="4">
        <v>178</v>
      </c>
      <c r="B179" s="5" t="s">
        <v>18</v>
      </c>
      <c r="C179" s="5" t="s">
        <v>42</v>
      </c>
      <c r="D179" s="6">
        <v>44772</v>
      </c>
      <c r="E179" s="20">
        <v>766</v>
      </c>
      <c r="F179" s="7">
        <v>1</v>
      </c>
      <c r="J179" s="16"/>
    </row>
    <row r="180" spans="1:10" ht="15.75" thickBot="1" x14ac:dyDescent="0.3">
      <c r="A180" s="8">
        <v>179</v>
      </c>
      <c r="B180" s="9" t="s">
        <v>20</v>
      </c>
      <c r="C180" s="9" t="s">
        <v>43</v>
      </c>
      <c r="D180" s="10">
        <v>44983</v>
      </c>
      <c r="E180" s="21">
        <v>897</v>
      </c>
      <c r="F180" s="11">
        <v>1</v>
      </c>
      <c r="J180" s="16"/>
    </row>
    <row r="181" spans="1:10" ht="30.75" thickBot="1" x14ac:dyDescent="0.3">
      <c r="A181" s="8">
        <v>180</v>
      </c>
      <c r="B181" s="9" t="s">
        <v>22</v>
      </c>
      <c r="C181" s="9" t="s">
        <v>44</v>
      </c>
      <c r="D181" s="10">
        <v>44900</v>
      </c>
      <c r="E181" s="21">
        <v>879</v>
      </c>
      <c r="F181" s="11">
        <v>1</v>
      </c>
      <c r="J181" s="16"/>
    </row>
    <row r="182" spans="1:10" ht="30.75" thickBot="1" x14ac:dyDescent="0.3">
      <c r="A182" s="4">
        <v>181</v>
      </c>
      <c r="B182" s="5" t="s">
        <v>24</v>
      </c>
      <c r="C182" s="5" t="s">
        <v>45</v>
      </c>
      <c r="D182" s="6">
        <v>44977</v>
      </c>
      <c r="E182" s="20">
        <v>914</v>
      </c>
      <c r="F182" s="7">
        <v>1</v>
      </c>
      <c r="J182" s="16"/>
    </row>
    <row r="183" spans="1:10" ht="30.75" thickBot="1" x14ac:dyDescent="0.3">
      <c r="A183" s="4">
        <v>182</v>
      </c>
      <c r="B183" s="5" t="s">
        <v>6</v>
      </c>
      <c r="C183" s="5" t="s">
        <v>46</v>
      </c>
      <c r="D183" s="6">
        <v>44762</v>
      </c>
      <c r="E183" s="20">
        <v>891</v>
      </c>
      <c r="F183" s="7">
        <v>1</v>
      </c>
      <c r="J183" s="16"/>
    </row>
    <row r="184" spans="1:10" ht="15.75" thickBot="1" x14ac:dyDescent="0.3">
      <c r="A184" s="8">
        <v>183</v>
      </c>
      <c r="B184" s="9" t="s">
        <v>8</v>
      </c>
      <c r="C184" s="9" t="s">
        <v>47</v>
      </c>
      <c r="D184" s="10">
        <v>45011</v>
      </c>
      <c r="E184" s="21">
        <v>565</v>
      </c>
      <c r="F184" s="11">
        <v>1</v>
      </c>
      <c r="J184" s="16"/>
    </row>
    <row r="185" spans="1:10" ht="30.75" thickBot="1" x14ac:dyDescent="0.3">
      <c r="A185" s="8">
        <v>184</v>
      </c>
      <c r="B185" s="9" t="s">
        <v>10</v>
      </c>
      <c r="C185" s="9" t="s">
        <v>48</v>
      </c>
      <c r="D185" s="10">
        <v>45015</v>
      </c>
      <c r="E185" s="21">
        <v>867</v>
      </c>
      <c r="F185" s="11">
        <v>1</v>
      </c>
      <c r="J185" s="16"/>
    </row>
    <row r="186" spans="1:10" ht="30.75" thickBot="1" x14ac:dyDescent="0.3">
      <c r="A186" s="4">
        <v>185</v>
      </c>
      <c r="B186" s="5" t="s">
        <v>12</v>
      </c>
      <c r="C186" s="5" t="s">
        <v>49</v>
      </c>
      <c r="D186" s="6">
        <v>44816</v>
      </c>
      <c r="E186" s="20">
        <v>440</v>
      </c>
      <c r="F186" s="7">
        <v>1</v>
      </c>
      <c r="J186" s="16"/>
    </row>
    <row r="187" spans="1:10" ht="30.75" thickBot="1" x14ac:dyDescent="0.3">
      <c r="A187" s="4">
        <v>186</v>
      </c>
      <c r="B187" s="5" t="s">
        <v>14</v>
      </c>
      <c r="C187" s="5" t="s">
        <v>50</v>
      </c>
      <c r="D187" s="6">
        <v>44655</v>
      </c>
      <c r="E187" s="20">
        <v>569</v>
      </c>
      <c r="F187" s="7">
        <v>1</v>
      </c>
      <c r="J187" s="16"/>
    </row>
    <row r="188" spans="1:10" ht="30.75" thickBot="1" x14ac:dyDescent="0.3">
      <c r="A188" s="8">
        <v>187</v>
      </c>
      <c r="B188" s="9" t="s">
        <v>16</v>
      </c>
      <c r="C188" s="9" t="s">
        <v>51</v>
      </c>
      <c r="D188" s="10">
        <v>44933</v>
      </c>
      <c r="E188" s="21">
        <v>743</v>
      </c>
      <c r="F188" s="11">
        <v>1</v>
      </c>
      <c r="J188" s="16"/>
    </row>
    <row r="189" spans="1:10" ht="15.75" thickBot="1" x14ac:dyDescent="0.3">
      <c r="A189" s="8">
        <v>188</v>
      </c>
      <c r="B189" s="9" t="s">
        <v>18</v>
      </c>
      <c r="C189" s="9" t="s">
        <v>52</v>
      </c>
      <c r="D189" s="10">
        <v>44963</v>
      </c>
      <c r="E189" s="21">
        <v>454</v>
      </c>
      <c r="F189" s="11">
        <v>1</v>
      </c>
      <c r="J189" s="16"/>
    </row>
    <row r="190" spans="1:10" ht="15.75" thickBot="1" x14ac:dyDescent="0.3">
      <c r="A190" s="4">
        <v>189</v>
      </c>
      <c r="B190" s="5" t="s">
        <v>20</v>
      </c>
      <c r="C190" s="5" t="s">
        <v>53</v>
      </c>
      <c r="D190" s="6">
        <v>44818</v>
      </c>
      <c r="E190" s="20">
        <v>883</v>
      </c>
      <c r="F190" s="7">
        <v>1</v>
      </c>
      <c r="J190" s="16"/>
    </row>
    <row r="191" spans="1:10" ht="30.75" thickBot="1" x14ac:dyDescent="0.3">
      <c r="A191" s="4">
        <v>190</v>
      </c>
      <c r="B191" s="5" t="s">
        <v>22</v>
      </c>
      <c r="C191" s="5" t="s">
        <v>54</v>
      </c>
      <c r="D191" s="6">
        <v>44893</v>
      </c>
      <c r="E191" s="20">
        <v>409</v>
      </c>
      <c r="F191" s="7">
        <v>1</v>
      </c>
      <c r="J191" s="16"/>
    </row>
    <row r="192" spans="1:10" ht="30.75" thickBot="1" x14ac:dyDescent="0.3">
      <c r="A192" s="8">
        <v>191</v>
      </c>
      <c r="B192" s="9" t="s">
        <v>24</v>
      </c>
      <c r="C192" s="9" t="s">
        <v>55</v>
      </c>
      <c r="D192" s="10">
        <v>44728</v>
      </c>
      <c r="E192" s="21">
        <v>816</v>
      </c>
      <c r="F192" s="11">
        <v>1</v>
      </c>
      <c r="J192" s="16"/>
    </row>
    <row r="193" spans="1:10" ht="30.75" thickBot="1" x14ac:dyDescent="0.3">
      <c r="A193" s="8">
        <v>192</v>
      </c>
      <c r="B193" s="9" t="s">
        <v>6</v>
      </c>
      <c r="C193" s="9" t="s">
        <v>56</v>
      </c>
      <c r="D193" s="10">
        <v>44794</v>
      </c>
      <c r="E193" s="21">
        <v>815</v>
      </c>
      <c r="F193" s="11">
        <v>1</v>
      </c>
      <c r="J193" s="16"/>
    </row>
    <row r="194" spans="1:10" ht="15.75" thickBot="1" x14ac:dyDescent="0.3">
      <c r="A194" s="4">
        <v>193</v>
      </c>
      <c r="B194" s="5" t="s">
        <v>8</v>
      </c>
      <c r="C194" s="5" t="s">
        <v>57</v>
      </c>
      <c r="D194" s="6">
        <v>44845</v>
      </c>
      <c r="E194" s="20">
        <v>879</v>
      </c>
      <c r="F194" s="7">
        <v>1</v>
      </c>
      <c r="J194" s="16"/>
    </row>
    <row r="195" spans="1:10" ht="30.75" thickBot="1" x14ac:dyDescent="0.3">
      <c r="A195" s="4">
        <v>194</v>
      </c>
      <c r="B195" s="5" t="s">
        <v>10</v>
      </c>
      <c r="C195" s="5" t="s">
        <v>58</v>
      </c>
      <c r="D195" s="6">
        <v>45012</v>
      </c>
      <c r="E195" s="20">
        <v>434</v>
      </c>
      <c r="F195" s="7">
        <v>1</v>
      </c>
      <c r="J195" s="16"/>
    </row>
    <row r="196" spans="1:10" ht="30.75" thickBot="1" x14ac:dyDescent="0.3">
      <c r="A196" s="8">
        <v>195</v>
      </c>
      <c r="B196" s="9" t="s">
        <v>14</v>
      </c>
      <c r="C196" s="9" t="s">
        <v>95</v>
      </c>
      <c r="D196" s="10">
        <v>44797</v>
      </c>
      <c r="E196" s="21">
        <v>697</v>
      </c>
      <c r="F196" s="11">
        <v>1</v>
      </c>
      <c r="J196" s="16"/>
    </row>
    <row r="197" spans="1:10" ht="30.75" thickBot="1" x14ac:dyDescent="0.3">
      <c r="A197" s="8">
        <v>196</v>
      </c>
      <c r="B197" s="9" t="s">
        <v>16</v>
      </c>
      <c r="C197" s="9" t="s">
        <v>96</v>
      </c>
      <c r="D197" s="10">
        <v>44598</v>
      </c>
      <c r="E197" s="21">
        <v>742</v>
      </c>
      <c r="F197" s="11">
        <v>1</v>
      </c>
      <c r="J197" s="16"/>
    </row>
    <row r="198" spans="1:10" ht="15.75" thickBot="1" x14ac:dyDescent="0.3">
      <c r="A198" s="4">
        <v>197</v>
      </c>
      <c r="B198" s="5" t="s">
        <v>18</v>
      </c>
      <c r="C198" s="5" t="s">
        <v>97</v>
      </c>
      <c r="D198" s="6">
        <v>44922</v>
      </c>
      <c r="E198" s="20">
        <v>531</v>
      </c>
      <c r="F198" s="7">
        <v>1</v>
      </c>
      <c r="J198" s="16"/>
    </row>
    <row r="199" spans="1:10" ht="30.75" thickBot="1" x14ac:dyDescent="0.3">
      <c r="A199" s="4">
        <v>198</v>
      </c>
      <c r="B199" s="5" t="s">
        <v>6</v>
      </c>
      <c r="C199" s="5" t="s">
        <v>7</v>
      </c>
      <c r="D199" s="6">
        <v>44771</v>
      </c>
      <c r="E199" s="20">
        <v>723</v>
      </c>
      <c r="F199" s="7">
        <v>1</v>
      </c>
      <c r="J199" s="16"/>
    </row>
    <row r="200" spans="1:10" ht="15.75" thickBot="1" x14ac:dyDescent="0.3">
      <c r="A200" s="8">
        <v>199</v>
      </c>
      <c r="B200" s="9" t="s">
        <v>8</v>
      </c>
      <c r="C200" s="9" t="s">
        <v>9</v>
      </c>
      <c r="D200" s="10">
        <v>44585</v>
      </c>
      <c r="E200" s="21">
        <v>481</v>
      </c>
      <c r="F200" s="11">
        <v>1</v>
      </c>
      <c r="J200" s="16"/>
    </row>
    <row r="201" spans="1:10" ht="30.75" thickBot="1" x14ac:dyDescent="0.3">
      <c r="A201" s="8">
        <v>200</v>
      </c>
      <c r="B201" s="9" t="s">
        <v>10</v>
      </c>
      <c r="C201" s="9" t="s">
        <v>11</v>
      </c>
      <c r="D201" s="10">
        <v>45017</v>
      </c>
      <c r="E201" s="21">
        <v>634</v>
      </c>
      <c r="F201" s="11">
        <v>1</v>
      </c>
      <c r="J201" s="16"/>
    </row>
    <row r="202" spans="1:10" ht="30.75" thickBot="1" x14ac:dyDescent="0.3">
      <c r="A202" s="4">
        <v>201</v>
      </c>
      <c r="B202" s="5" t="s">
        <v>12</v>
      </c>
      <c r="C202" s="5" t="s">
        <v>13</v>
      </c>
      <c r="D202" s="6">
        <v>44752</v>
      </c>
      <c r="E202" s="20">
        <v>480</v>
      </c>
      <c r="F202" s="7">
        <v>1</v>
      </c>
      <c r="J202" s="16"/>
    </row>
    <row r="203" spans="1:10" ht="30.75" thickBot="1" x14ac:dyDescent="0.3">
      <c r="A203" s="4">
        <v>202</v>
      </c>
      <c r="B203" s="5" t="s">
        <v>14</v>
      </c>
      <c r="C203" s="5" t="s">
        <v>15</v>
      </c>
      <c r="D203" s="6">
        <v>44792</v>
      </c>
      <c r="E203" s="20">
        <v>731</v>
      </c>
      <c r="F203" s="7">
        <v>1</v>
      </c>
      <c r="J203" s="16"/>
    </row>
    <row r="204" spans="1:10" ht="30.75" thickBot="1" x14ac:dyDescent="0.3">
      <c r="A204" s="8">
        <v>203</v>
      </c>
      <c r="B204" s="9" t="s">
        <v>16</v>
      </c>
      <c r="C204" s="9" t="s">
        <v>17</v>
      </c>
      <c r="D204" s="10">
        <v>44660</v>
      </c>
      <c r="E204" s="21">
        <v>603</v>
      </c>
      <c r="F204" s="11">
        <v>1</v>
      </c>
      <c r="J204" s="16"/>
    </row>
    <row r="205" spans="1:10" ht="15.75" thickBot="1" x14ac:dyDescent="0.3">
      <c r="A205" s="8">
        <v>204</v>
      </c>
      <c r="B205" s="9" t="s">
        <v>18</v>
      </c>
      <c r="C205" s="9" t="s">
        <v>19</v>
      </c>
      <c r="D205" s="10">
        <v>45047</v>
      </c>
      <c r="E205" s="21">
        <v>603</v>
      </c>
      <c r="F205" s="11">
        <v>1</v>
      </c>
      <c r="J205" s="16"/>
    </row>
    <row r="206" spans="1:10" ht="30.75" thickBot="1" x14ac:dyDescent="0.3">
      <c r="A206" s="4">
        <v>205</v>
      </c>
      <c r="B206" s="5" t="s">
        <v>6</v>
      </c>
      <c r="C206" s="5" t="s">
        <v>7</v>
      </c>
      <c r="D206" s="6">
        <v>44771</v>
      </c>
      <c r="E206" s="20">
        <v>939</v>
      </c>
      <c r="F206" s="7">
        <v>1</v>
      </c>
      <c r="J206" s="16"/>
    </row>
    <row r="207" spans="1:10" ht="15.75" thickBot="1" x14ac:dyDescent="0.3">
      <c r="A207" s="4">
        <v>206</v>
      </c>
      <c r="B207" s="5" t="s">
        <v>8</v>
      </c>
      <c r="C207" s="5" t="s">
        <v>9</v>
      </c>
      <c r="D207" s="6">
        <v>44585</v>
      </c>
      <c r="E207" s="20">
        <v>770</v>
      </c>
      <c r="F207" s="7">
        <v>1</v>
      </c>
      <c r="J207" s="16"/>
    </row>
    <row r="208" spans="1:10" ht="30.75" thickBot="1" x14ac:dyDescent="0.3">
      <c r="A208" s="8">
        <v>207</v>
      </c>
      <c r="B208" s="9" t="s">
        <v>10</v>
      </c>
      <c r="C208" s="9" t="s">
        <v>11</v>
      </c>
      <c r="D208" s="10">
        <v>45017</v>
      </c>
      <c r="E208" s="21">
        <v>500</v>
      </c>
      <c r="F208" s="11">
        <v>1</v>
      </c>
      <c r="J208" s="16"/>
    </row>
    <row r="209" spans="1:10" ht="30.75" thickBot="1" x14ac:dyDescent="0.3">
      <c r="A209" s="8">
        <v>208</v>
      </c>
      <c r="B209" s="9" t="s">
        <v>12</v>
      </c>
      <c r="C209" s="9" t="s">
        <v>13</v>
      </c>
      <c r="D209" s="10">
        <v>44752</v>
      </c>
      <c r="E209" s="21">
        <v>820</v>
      </c>
      <c r="F209" s="11">
        <v>1</v>
      </c>
      <c r="J209" s="16"/>
    </row>
    <row r="210" spans="1:10" ht="30.75" thickBot="1" x14ac:dyDescent="0.3">
      <c r="A210" s="4">
        <v>209</v>
      </c>
      <c r="B210" s="5" t="s">
        <v>14</v>
      </c>
      <c r="C210" s="5" t="s">
        <v>15</v>
      </c>
      <c r="D210" s="6">
        <v>44792</v>
      </c>
      <c r="E210" s="20">
        <v>963</v>
      </c>
      <c r="F210" s="7">
        <v>1</v>
      </c>
      <c r="J210" s="16"/>
    </row>
    <row r="211" spans="1:10" ht="30.75" thickBot="1" x14ac:dyDescent="0.3">
      <c r="A211" s="4">
        <v>210</v>
      </c>
      <c r="B211" s="5" t="s">
        <v>16</v>
      </c>
      <c r="C211" s="5" t="s">
        <v>17</v>
      </c>
      <c r="D211" s="6">
        <v>44660</v>
      </c>
      <c r="E211" s="20">
        <v>924</v>
      </c>
      <c r="F211" s="7">
        <v>1</v>
      </c>
      <c r="J211" s="16"/>
    </row>
    <row r="212" spans="1:10" ht="15.75" thickBot="1" x14ac:dyDescent="0.3">
      <c r="A212" s="8">
        <v>211</v>
      </c>
      <c r="B212" s="9" t="s">
        <v>18</v>
      </c>
      <c r="C212" s="9" t="s">
        <v>19</v>
      </c>
      <c r="D212" s="10">
        <v>45047</v>
      </c>
      <c r="E212" s="21">
        <v>908</v>
      </c>
      <c r="F212" s="11">
        <v>1</v>
      </c>
      <c r="J212" s="16"/>
    </row>
    <row r="213" spans="1:10" ht="15.75" thickBot="1" x14ac:dyDescent="0.3">
      <c r="A213" s="8">
        <v>212</v>
      </c>
      <c r="B213" s="9" t="s">
        <v>20</v>
      </c>
      <c r="C213" s="9" t="s">
        <v>21</v>
      </c>
      <c r="D213" s="10">
        <v>44822</v>
      </c>
      <c r="E213" s="21">
        <v>435</v>
      </c>
      <c r="F213" s="11">
        <v>1</v>
      </c>
      <c r="J213" s="16"/>
    </row>
    <row r="214" spans="1:10" ht="30.75" thickBot="1" x14ac:dyDescent="0.3">
      <c r="A214" s="4">
        <v>213</v>
      </c>
      <c r="B214" s="5" t="s">
        <v>22</v>
      </c>
      <c r="C214" s="5" t="s">
        <v>23</v>
      </c>
      <c r="D214" s="6">
        <v>44637</v>
      </c>
      <c r="E214" s="20">
        <v>773</v>
      </c>
      <c r="F214" s="7">
        <v>1</v>
      </c>
      <c r="J214" s="16"/>
    </row>
    <row r="215" spans="1:10" ht="30.75" thickBot="1" x14ac:dyDescent="0.3">
      <c r="A215" s="4">
        <v>214</v>
      </c>
      <c r="B215" s="5" t="s">
        <v>24</v>
      </c>
      <c r="C215" s="5" t="s">
        <v>25</v>
      </c>
      <c r="D215" s="6">
        <v>44562</v>
      </c>
      <c r="E215" s="20">
        <v>415</v>
      </c>
      <c r="F215" s="7">
        <v>1</v>
      </c>
      <c r="J215" s="16"/>
    </row>
    <row r="216" spans="1:10" ht="30.75" thickBot="1" x14ac:dyDescent="0.3">
      <c r="A216" s="8">
        <v>215</v>
      </c>
      <c r="B216" s="9" t="s">
        <v>6</v>
      </c>
      <c r="C216" s="9" t="s">
        <v>26</v>
      </c>
      <c r="D216" s="10">
        <v>44894</v>
      </c>
      <c r="E216" s="21">
        <v>527</v>
      </c>
      <c r="F216" s="11">
        <v>1</v>
      </c>
      <c r="J216" s="16"/>
    </row>
    <row r="217" spans="1:10" ht="15.75" thickBot="1" x14ac:dyDescent="0.3">
      <c r="A217" s="8">
        <v>216</v>
      </c>
      <c r="B217" s="9" t="s">
        <v>8</v>
      </c>
      <c r="C217" s="9" t="s">
        <v>27</v>
      </c>
      <c r="D217" s="10">
        <v>44961</v>
      </c>
      <c r="E217" s="21">
        <v>668</v>
      </c>
      <c r="F217" s="11">
        <v>1</v>
      </c>
      <c r="J217" s="16"/>
    </row>
    <row r="218" spans="1:10" ht="30.75" thickBot="1" x14ac:dyDescent="0.3">
      <c r="A218" s="4">
        <v>217</v>
      </c>
      <c r="B218" s="5" t="s">
        <v>10</v>
      </c>
      <c r="C218" s="5" t="s">
        <v>28</v>
      </c>
      <c r="D218" s="6">
        <v>44890</v>
      </c>
      <c r="E218" s="20">
        <v>897</v>
      </c>
      <c r="F218" s="7">
        <v>1</v>
      </c>
      <c r="J218" s="16"/>
    </row>
    <row r="219" spans="1:10" ht="30.75" thickBot="1" x14ac:dyDescent="0.3">
      <c r="A219" s="4">
        <v>218</v>
      </c>
      <c r="B219" s="5" t="s">
        <v>12</v>
      </c>
      <c r="C219" s="5" t="s">
        <v>29</v>
      </c>
      <c r="D219" s="6">
        <v>44996</v>
      </c>
      <c r="E219" s="20">
        <v>982</v>
      </c>
      <c r="F219" s="7">
        <v>1</v>
      </c>
      <c r="J219" s="16"/>
    </row>
    <row r="220" spans="1:10" ht="30.75" thickBot="1" x14ac:dyDescent="0.3">
      <c r="A220" s="8">
        <v>219</v>
      </c>
      <c r="B220" s="9" t="s">
        <v>14</v>
      </c>
      <c r="C220" s="9" t="s">
        <v>30</v>
      </c>
      <c r="D220" s="10">
        <v>44726</v>
      </c>
      <c r="E220" s="21">
        <v>841</v>
      </c>
      <c r="F220" s="11">
        <v>1</v>
      </c>
      <c r="J220" s="16"/>
    </row>
    <row r="221" spans="1:10" ht="30.75" thickBot="1" x14ac:dyDescent="0.3">
      <c r="A221" s="8">
        <v>220</v>
      </c>
      <c r="B221" s="9" t="s">
        <v>16</v>
      </c>
      <c r="C221" s="9" t="s">
        <v>31</v>
      </c>
      <c r="D221" s="10">
        <v>45047</v>
      </c>
      <c r="E221" s="21">
        <v>957</v>
      </c>
      <c r="F221" s="11">
        <v>1</v>
      </c>
      <c r="J221" s="16"/>
    </row>
    <row r="222" spans="1:10" ht="15.75" thickBot="1" x14ac:dyDescent="0.3">
      <c r="A222" s="4">
        <v>221</v>
      </c>
      <c r="B222" s="5" t="s">
        <v>18</v>
      </c>
      <c r="C222" s="5" t="s">
        <v>32</v>
      </c>
      <c r="D222" s="6">
        <v>44890</v>
      </c>
      <c r="E222" s="20">
        <v>855</v>
      </c>
      <c r="F222" s="7">
        <v>1</v>
      </c>
      <c r="J222" s="16"/>
    </row>
    <row r="223" spans="1:10" ht="15.75" thickBot="1" x14ac:dyDescent="0.3">
      <c r="A223" s="4">
        <v>222</v>
      </c>
      <c r="B223" s="5" t="s">
        <v>20</v>
      </c>
      <c r="C223" s="5" t="s">
        <v>33</v>
      </c>
      <c r="D223" s="6">
        <v>44800</v>
      </c>
      <c r="E223" s="20">
        <v>418</v>
      </c>
      <c r="F223" s="7">
        <v>1</v>
      </c>
      <c r="J223" s="16"/>
    </row>
    <row r="224" spans="1:10" ht="30.75" thickBot="1" x14ac:dyDescent="0.3">
      <c r="A224" s="8">
        <v>223</v>
      </c>
      <c r="B224" s="9" t="s">
        <v>22</v>
      </c>
      <c r="C224" s="9" t="s">
        <v>34</v>
      </c>
      <c r="D224" s="10">
        <v>44903</v>
      </c>
      <c r="E224" s="21">
        <v>956</v>
      </c>
      <c r="F224" s="11">
        <v>1</v>
      </c>
      <c r="J224" s="16"/>
    </row>
    <row r="225" spans="1:10" ht="30.75" thickBot="1" x14ac:dyDescent="0.3">
      <c r="A225" s="8">
        <v>224</v>
      </c>
      <c r="B225" s="9" t="s">
        <v>24</v>
      </c>
      <c r="C225" s="9" t="s">
        <v>35</v>
      </c>
      <c r="D225" s="10">
        <v>44900</v>
      </c>
      <c r="E225" s="21">
        <v>467</v>
      </c>
      <c r="F225" s="11">
        <v>1</v>
      </c>
      <c r="J225" s="16"/>
    </row>
    <row r="226" spans="1:10" ht="30.75" thickBot="1" x14ac:dyDescent="0.3">
      <c r="A226" s="4">
        <v>225</v>
      </c>
      <c r="B226" s="5" t="s">
        <v>6</v>
      </c>
      <c r="C226" s="5" t="s">
        <v>36</v>
      </c>
      <c r="D226" s="6">
        <v>44753</v>
      </c>
      <c r="E226" s="20">
        <v>451</v>
      </c>
      <c r="F226" s="7">
        <v>1</v>
      </c>
      <c r="J226" s="16"/>
    </row>
    <row r="227" spans="1:10" ht="15.75" thickBot="1" x14ac:dyDescent="0.3">
      <c r="A227" s="4">
        <v>226</v>
      </c>
      <c r="B227" s="5" t="s">
        <v>8</v>
      </c>
      <c r="C227" s="5" t="s">
        <v>37</v>
      </c>
      <c r="D227" s="6">
        <v>44793</v>
      </c>
      <c r="E227" s="20">
        <v>445</v>
      </c>
      <c r="F227" s="7">
        <v>1</v>
      </c>
      <c r="J227" s="16"/>
    </row>
    <row r="228" spans="1:10" ht="30.75" thickBot="1" x14ac:dyDescent="0.3">
      <c r="A228" s="8">
        <v>227</v>
      </c>
      <c r="B228" s="9" t="s">
        <v>10</v>
      </c>
      <c r="C228" s="9" t="s">
        <v>38</v>
      </c>
      <c r="D228" s="10">
        <v>44732</v>
      </c>
      <c r="E228" s="21">
        <v>973</v>
      </c>
      <c r="F228" s="11">
        <v>1</v>
      </c>
      <c r="J228" s="16"/>
    </row>
    <row r="229" spans="1:10" ht="30.75" thickBot="1" x14ac:dyDescent="0.3">
      <c r="A229" s="8">
        <v>228</v>
      </c>
      <c r="B229" s="9" t="s">
        <v>12</v>
      </c>
      <c r="C229" s="9" t="s">
        <v>39</v>
      </c>
      <c r="D229" s="10">
        <v>44939</v>
      </c>
      <c r="E229" s="21">
        <v>720</v>
      </c>
      <c r="F229" s="11">
        <v>1</v>
      </c>
      <c r="J229" s="16"/>
    </row>
    <row r="230" spans="1:10" ht="30.75" thickBot="1" x14ac:dyDescent="0.3">
      <c r="A230" s="4">
        <v>229</v>
      </c>
      <c r="B230" s="5" t="s">
        <v>14</v>
      </c>
      <c r="C230" s="5" t="s">
        <v>40</v>
      </c>
      <c r="D230" s="6">
        <v>44891</v>
      </c>
      <c r="E230" s="20">
        <v>598</v>
      </c>
      <c r="F230" s="7">
        <v>1</v>
      </c>
      <c r="J230" s="16"/>
    </row>
    <row r="231" spans="1:10" ht="30.75" thickBot="1" x14ac:dyDescent="0.3">
      <c r="A231" s="4">
        <v>230</v>
      </c>
      <c r="B231" s="5" t="s">
        <v>16</v>
      </c>
      <c r="C231" s="5" t="s">
        <v>41</v>
      </c>
      <c r="D231" s="6">
        <v>44902</v>
      </c>
      <c r="E231" s="20">
        <v>899</v>
      </c>
      <c r="F231" s="7">
        <v>1</v>
      </c>
      <c r="J231" s="16"/>
    </row>
    <row r="232" spans="1:10" ht="15.75" thickBot="1" x14ac:dyDescent="0.3">
      <c r="A232" s="8">
        <v>231</v>
      </c>
      <c r="B232" s="9" t="s">
        <v>18</v>
      </c>
      <c r="C232" s="9" t="s">
        <v>42</v>
      </c>
      <c r="D232" s="10">
        <v>44772</v>
      </c>
      <c r="E232" s="21">
        <v>765</v>
      </c>
      <c r="F232" s="11">
        <v>1</v>
      </c>
      <c r="J232" s="16"/>
    </row>
    <row r="233" spans="1:10" ht="15.75" thickBot="1" x14ac:dyDescent="0.3">
      <c r="A233" s="8">
        <v>232</v>
      </c>
      <c r="B233" s="9" t="s">
        <v>20</v>
      </c>
      <c r="C233" s="9" t="s">
        <v>43</v>
      </c>
      <c r="D233" s="10">
        <v>44983</v>
      </c>
      <c r="E233" s="21">
        <v>880</v>
      </c>
      <c r="F233" s="11">
        <v>1</v>
      </c>
      <c r="J233" s="16"/>
    </row>
    <row r="234" spans="1:10" ht="30.75" thickBot="1" x14ac:dyDescent="0.3">
      <c r="A234" s="4">
        <v>233</v>
      </c>
      <c r="B234" s="5" t="s">
        <v>22</v>
      </c>
      <c r="C234" s="5" t="s">
        <v>44</v>
      </c>
      <c r="D234" s="6">
        <v>44900</v>
      </c>
      <c r="E234" s="20">
        <v>510</v>
      </c>
      <c r="F234" s="7">
        <v>1</v>
      </c>
      <c r="J234" s="16"/>
    </row>
    <row r="235" spans="1:10" ht="30.75" thickBot="1" x14ac:dyDescent="0.3">
      <c r="A235" s="4">
        <v>234</v>
      </c>
      <c r="B235" s="5" t="s">
        <v>24</v>
      </c>
      <c r="C235" s="5" t="s">
        <v>45</v>
      </c>
      <c r="D235" s="6">
        <v>44977</v>
      </c>
      <c r="E235" s="20">
        <v>571</v>
      </c>
      <c r="F235" s="7">
        <v>1</v>
      </c>
      <c r="J235" s="16"/>
    </row>
    <row r="236" spans="1:10" ht="30.75" thickBot="1" x14ac:dyDescent="0.3">
      <c r="A236" s="8">
        <v>235</v>
      </c>
      <c r="B236" s="9" t="s">
        <v>6</v>
      </c>
      <c r="C236" s="9" t="s">
        <v>46</v>
      </c>
      <c r="D236" s="10">
        <v>44762</v>
      </c>
      <c r="E236" s="21">
        <v>508</v>
      </c>
      <c r="F236" s="11">
        <v>1</v>
      </c>
      <c r="J236" s="16"/>
    </row>
    <row r="237" spans="1:10" ht="15.75" thickBot="1" x14ac:dyDescent="0.3">
      <c r="A237" s="8">
        <v>236</v>
      </c>
      <c r="B237" s="9" t="s">
        <v>8</v>
      </c>
      <c r="C237" s="9" t="s">
        <v>47</v>
      </c>
      <c r="D237" s="10">
        <v>45011</v>
      </c>
      <c r="E237" s="21">
        <v>837</v>
      </c>
      <c r="F237" s="11">
        <v>1</v>
      </c>
      <c r="J237" s="16"/>
    </row>
    <row r="238" spans="1:10" ht="30.75" thickBot="1" x14ac:dyDescent="0.3">
      <c r="A238" s="4">
        <v>237</v>
      </c>
      <c r="B238" s="5" t="s">
        <v>10</v>
      </c>
      <c r="C238" s="5" t="s">
        <v>48</v>
      </c>
      <c r="D238" s="6">
        <v>45015</v>
      </c>
      <c r="E238" s="20">
        <v>935</v>
      </c>
      <c r="F238" s="7">
        <v>1</v>
      </c>
      <c r="J238" s="16"/>
    </row>
    <row r="239" spans="1:10" ht="30.75" thickBot="1" x14ac:dyDescent="0.3">
      <c r="A239" s="4">
        <v>238</v>
      </c>
      <c r="B239" s="5" t="s">
        <v>12</v>
      </c>
      <c r="C239" s="5" t="s">
        <v>49</v>
      </c>
      <c r="D239" s="6">
        <v>44816</v>
      </c>
      <c r="E239" s="20">
        <v>810</v>
      </c>
      <c r="F239" s="7">
        <v>1</v>
      </c>
      <c r="J239" s="16"/>
    </row>
    <row r="240" spans="1:10" ht="30.75" thickBot="1" x14ac:dyDescent="0.3">
      <c r="A240" s="8">
        <v>239</v>
      </c>
      <c r="B240" s="9" t="s">
        <v>14</v>
      </c>
      <c r="C240" s="9" t="s">
        <v>50</v>
      </c>
      <c r="D240" s="10">
        <v>44655</v>
      </c>
      <c r="E240" s="21">
        <v>653</v>
      </c>
      <c r="F240" s="11">
        <v>1</v>
      </c>
      <c r="J240" s="16"/>
    </row>
    <row r="241" spans="1:10" ht="30.75" thickBot="1" x14ac:dyDescent="0.3">
      <c r="A241" s="8">
        <v>240</v>
      </c>
      <c r="B241" s="9" t="s">
        <v>16</v>
      </c>
      <c r="C241" s="9" t="s">
        <v>51</v>
      </c>
      <c r="D241" s="10">
        <v>44933</v>
      </c>
      <c r="E241" s="21">
        <v>543</v>
      </c>
      <c r="F241" s="11">
        <v>1</v>
      </c>
      <c r="J241" s="16"/>
    </row>
    <row r="242" spans="1:10" ht="15.75" thickBot="1" x14ac:dyDescent="0.3">
      <c r="A242" s="4">
        <v>241</v>
      </c>
      <c r="B242" s="5" t="s">
        <v>18</v>
      </c>
      <c r="C242" s="5" t="s">
        <v>52</v>
      </c>
      <c r="D242" s="6">
        <v>44963</v>
      </c>
      <c r="E242" s="20">
        <v>588</v>
      </c>
      <c r="F242" s="7">
        <v>1</v>
      </c>
      <c r="J242" s="16"/>
    </row>
    <row r="243" spans="1:10" ht="15.75" thickBot="1" x14ac:dyDescent="0.3">
      <c r="A243" s="4">
        <v>242</v>
      </c>
      <c r="B243" s="5" t="s">
        <v>20</v>
      </c>
      <c r="C243" s="5" t="s">
        <v>53</v>
      </c>
      <c r="D243" s="6">
        <v>44818</v>
      </c>
      <c r="E243" s="20">
        <v>677</v>
      </c>
      <c r="F243" s="7">
        <v>1</v>
      </c>
      <c r="J243" s="16"/>
    </row>
    <row r="244" spans="1:10" ht="30.75" thickBot="1" x14ac:dyDescent="0.3">
      <c r="A244" s="8">
        <v>243</v>
      </c>
      <c r="B244" s="9" t="s">
        <v>22</v>
      </c>
      <c r="C244" s="9" t="s">
        <v>54</v>
      </c>
      <c r="D244" s="10">
        <v>44893</v>
      </c>
      <c r="E244" s="21">
        <v>568</v>
      </c>
      <c r="F244" s="11">
        <v>1</v>
      </c>
      <c r="J244" s="16"/>
    </row>
    <row r="245" spans="1:10" ht="30.75" thickBot="1" x14ac:dyDescent="0.3">
      <c r="A245" s="8">
        <v>244</v>
      </c>
      <c r="B245" s="9" t="s">
        <v>24</v>
      </c>
      <c r="C245" s="9" t="s">
        <v>55</v>
      </c>
      <c r="D245" s="10">
        <v>44728</v>
      </c>
      <c r="E245" s="21">
        <v>924</v>
      </c>
      <c r="F245" s="11">
        <v>1</v>
      </c>
      <c r="J245" s="16"/>
    </row>
    <row r="246" spans="1:10" ht="30.75" thickBot="1" x14ac:dyDescent="0.3">
      <c r="A246" s="4">
        <v>245</v>
      </c>
      <c r="B246" s="5" t="s">
        <v>6</v>
      </c>
      <c r="C246" s="5" t="s">
        <v>56</v>
      </c>
      <c r="D246" s="6">
        <v>44794</v>
      </c>
      <c r="E246" s="20">
        <v>478</v>
      </c>
      <c r="F246" s="7">
        <v>1</v>
      </c>
      <c r="J246" s="16"/>
    </row>
    <row r="247" spans="1:10" ht="15.75" thickBot="1" x14ac:dyDescent="0.3">
      <c r="A247" s="4">
        <v>246</v>
      </c>
      <c r="B247" s="5" t="s">
        <v>8</v>
      </c>
      <c r="C247" s="5" t="s">
        <v>57</v>
      </c>
      <c r="D247" s="6">
        <v>44845</v>
      </c>
      <c r="E247" s="20">
        <v>447</v>
      </c>
      <c r="F247" s="7">
        <v>1</v>
      </c>
      <c r="J247" s="16"/>
    </row>
    <row r="248" spans="1:10" ht="30.75" thickBot="1" x14ac:dyDescent="0.3">
      <c r="A248" s="8">
        <v>247</v>
      </c>
      <c r="B248" s="9" t="s">
        <v>10</v>
      </c>
      <c r="C248" s="9" t="s">
        <v>58</v>
      </c>
      <c r="D248" s="10">
        <v>45012</v>
      </c>
      <c r="E248" s="21">
        <v>624</v>
      </c>
      <c r="F248" s="11">
        <v>1</v>
      </c>
      <c r="J248" s="16"/>
    </row>
    <row r="249" spans="1:10" ht="30.75" thickBot="1" x14ac:dyDescent="0.3">
      <c r="A249" s="8">
        <v>248</v>
      </c>
      <c r="B249" s="9" t="s">
        <v>12</v>
      </c>
      <c r="C249" s="9" t="s">
        <v>59</v>
      </c>
      <c r="D249" s="10">
        <v>44654</v>
      </c>
      <c r="E249" s="21">
        <v>933</v>
      </c>
      <c r="F249" s="11">
        <v>1</v>
      </c>
      <c r="J249" s="16"/>
    </row>
    <row r="250" spans="1:10" ht="30.75" thickBot="1" x14ac:dyDescent="0.3">
      <c r="A250" s="4">
        <v>249</v>
      </c>
      <c r="B250" s="5" t="s">
        <v>14</v>
      </c>
      <c r="C250" s="5" t="s">
        <v>60</v>
      </c>
      <c r="D250" s="6">
        <v>44823</v>
      </c>
      <c r="E250" s="20">
        <v>588</v>
      </c>
      <c r="F250" s="7">
        <v>1</v>
      </c>
      <c r="J250" s="16"/>
    </row>
    <row r="251" spans="1:10" ht="30.75" thickBot="1" x14ac:dyDescent="0.3">
      <c r="A251" s="4">
        <v>250</v>
      </c>
      <c r="B251" s="5" t="s">
        <v>16</v>
      </c>
      <c r="C251" s="5" t="s">
        <v>61</v>
      </c>
      <c r="D251" s="6">
        <v>44931</v>
      </c>
      <c r="E251" s="20">
        <v>689</v>
      </c>
      <c r="F251" s="7">
        <v>1</v>
      </c>
      <c r="J251" s="16"/>
    </row>
    <row r="252" spans="1:10" ht="15.75" thickBot="1" x14ac:dyDescent="0.3">
      <c r="A252" s="8">
        <v>251</v>
      </c>
      <c r="B252" s="9" t="s">
        <v>18</v>
      </c>
      <c r="C252" s="9" t="s">
        <v>62</v>
      </c>
      <c r="D252" s="10">
        <v>44732</v>
      </c>
      <c r="E252" s="21">
        <v>614</v>
      </c>
      <c r="F252" s="11">
        <v>1</v>
      </c>
      <c r="J252" s="16"/>
    </row>
    <row r="253" spans="1:10" ht="15.75" thickBot="1" x14ac:dyDescent="0.3">
      <c r="A253" s="8">
        <v>252</v>
      </c>
      <c r="B253" s="9" t="s">
        <v>20</v>
      </c>
      <c r="C253" s="9" t="s">
        <v>63</v>
      </c>
      <c r="D253" s="10">
        <v>44906</v>
      </c>
      <c r="E253" s="21">
        <v>667</v>
      </c>
      <c r="F253" s="11">
        <v>1</v>
      </c>
      <c r="J253" s="16"/>
    </row>
    <row r="254" spans="1:10" ht="30.75" thickBot="1" x14ac:dyDescent="0.3">
      <c r="A254" s="4">
        <v>253</v>
      </c>
      <c r="B254" s="5" t="s">
        <v>22</v>
      </c>
      <c r="C254" s="5" t="s">
        <v>64</v>
      </c>
      <c r="D254" s="6">
        <v>44797</v>
      </c>
      <c r="E254" s="20">
        <v>906</v>
      </c>
      <c r="F254" s="7">
        <v>1</v>
      </c>
      <c r="J254" s="16"/>
    </row>
    <row r="255" spans="1:10" ht="30.75" thickBot="1" x14ac:dyDescent="0.3">
      <c r="A255" s="4">
        <v>254</v>
      </c>
      <c r="B255" s="5" t="s">
        <v>24</v>
      </c>
      <c r="C255" s="5" t="s">
        <v>65</v>
      </c>
      <c r="D255" s="6">
        <v>44673</v>
      </c>
      <c r="E255" s="20">
        <v>638</v>
      </c>
      <c r="F255" s="7">
        <v>1</v>
      </c>
      <c r="J255" s="16"/>
    </row>
    <row r="256" spans="1:10" ht="30.75" thickBot="1" x14ac:dyDescent="0.3">
      <c r="A256" s="8">
        <v>255</v>
      </c>
      <c r="B256" s="9" t="s">
        <v>6</v>
      </c>
      <c r="C256" s="9" t="s">
        <v>66</v>
      </c>
      <c r="D256" s="10">
        <v>44821</v>
      </c>
      <c r="E256" s="21">
        <v>696</v>
      </c>
      <c r="F256" s="11">
        <v>1</v>
      </c>
      <c r="J256" s="16"/>
    </row>
    <row r="257" spans="1:10" ht="15.75" thickBot="1" x14ac:dyDescent="0.3">
      <c r="A257" s="8">
        <v>256</v>
      </c>
      <c r="B257" s="9" t="s">
        <v>8</v>
      </c>
      <c r="C257" s="9" t="s">
        <v>67</v>
      </c>
      <c r="D257" s="10">
        <v>44735</v>
      </c>
      <c r="E257" s="21">
        <v>871</v>
      </c>
      <c r="F257" s="11">
        <v>1</v>
      </c>
      <c r="J257" s="16"/>
    </row>
    <row r="258" spans="1:10" ht="30.75" thickBot="1" x14ac:dyDescent="0.3">
      <c r="A258" s="4">
        <v>257</v>
      </c>
      <c r="B258" s="5" t="s">
        <v>10</v>
      </c>
      <c r="C258" s="5" t="s">
        <v>68</v>
      </c>
      <c r="D258" s="6">
        <v>44667</v>
      </c>
      <c r="E258" s="20">
        <v>686</v>
      </c>
      <c r="F258" s="7">
        <v>1</v>
      </c>
      <c r="J258" s="16"/>
    </row>
    <row r="259" spans="1:10" ht="30.75" thickBot="1" x14ac:dyDescent="0.3">
      <c r="A259" s="4">
        <v>258</v>
      </c>
      <c r="B259" s="5" t="s">
        <v>12</v>
      </c>
      <c r="C259" s="5" t="s">
        <v>69</v>
      </c>
      <c r="D259" s="6">
        <v>45012</v>
      </c>
      <c r="E259" s="20">
        <v>683</v>
      </c>
      <c r="F259" s="7">
        <v>1</v>
      </c>
      <c r="J259" s="16"/>
    </row>
    <row r="260" spans="1:10" ht="30.75" thickBot="1" x14ac:dyDescent="0.3">
      <c r="A260" s="8">
        <v>259</v>
      </c>
      <c r="B260" s="9" t="s">
        <v>14</v>
      </c>
      <c r="C260" s="9" t="s">
        <v>70</v>
      </c>
      <c r="D260" s="10">
        <v>44986</v>
      </c>
      <c r="E260" s="21">
        <v>571</v>
      </c>
      <c r="F260" s="11">
        <v>1</v>
      </c>
      <c r="J260" s="16"/>
    </row>
    <row r="261" spans="1:10" ht="30.75" thickBot="1" x14ac:dyDescent="0.3">
      <c r="A261" s="8">
        <v>260</v>
      </c>
      <c r="B261" s="9" t="s">
        <v>16</v>
      </c>
      <c r="C261" s="9" t="s">
        <v>71</v>
      </c>
      <c r="D261" s="10">
        <v>44713</v>
      </c>
      <c r="E261" s="21">
        <v>696</v>
      </c>
      <c r="F261" s="11">
        <v>1</v>
      </c>
      <c r="J261" s="16"/>
    </row>
    <row r="262" spans="1:10" ht="15.75" thickBot="1" x14ac:dyDescent="0.3">
      <c r="A262" s="4">
        <v>261</v>
      </c>
      <c r="B262" s="5" t="s">
        <v>18</v>
      </c>
      <c r="C262" s="5" t="s">
        <v>72</v>
      </c>
      <c r="D262" s="6">
        <v>44695</v>
      </c>
      <c r="E262" s="20">
        <v>450</v>
      </c>
      <c r="F262" s="7">
        <v>1</v>
      </c>
      <c r="J262" s="16"/>
    </row>
    <row r="263" spans="1:10" ht="15.75" thickBot="1" x14ac:dyDescent="0.3">
      <c r="A263" s="4">
        <v>262</v>
      </c>
      <c r="B263" s="5" t="s">
        <v>20</v>
      </c>
      <c r="C263" s="5" t="s">
        <v>73</v>
      </c>
      <c r="D263" s="6">
        <v>44868</v>
      </c>
      <c r="E263" s="20">
        <v>630</v>
      </c>
      <c r="F263" s="7">
        <v>1</v>
      </c>
      <c r="J263" s="16"/>
    </row>
    <row r="264" spans="1:10" ht="30.75" thickBot="1" x14ac:dyDescent="0.3">
      <c r="A264" s="8">
        <v>263</v>
      </c>
      <c r="B264" s="9" t="s">
        <v>22</v>
      </c>
      <c r="C264" s="9" t="s">
        <v>74</v>
      </c>
      <c r="D264" s="10">
        <v>44930</v>
      </c>
      <c r="E264" s="21">
        <v>666</v>
      </c>
      <c r="F264" s="11">
        <v>1</v>
      </c>
      <c r="J264" s="16"/>
    </row>
    <row r="265" spans="1:10" ht="30.75" thickBot="1" x14ac:dyDescent="0.3">
      <c r="A265" s="8">
        <v>264</v>
      </c>
      <c r="B265" s="9" t="s">
        <v>24</v>
      </c>
      <c r="C265" s="9" t="s">
        <v>75</v>
      </c>
      <c r="D265" s="10">
        <v>44895</v>
      </c>
      <c r="E265" s="21">
        <v>407</v>
      </c>
      <c r="F265" s="11">
        <v>1</v>
      </c>
      <c r="J265" s="16"/>
    </row>
    <row r="266" spans="1:10" ht="30.75" thickBot="1" x14ac:dyDescent="0.3">
      <c r="A266" s="4">
        <v>265</v>
      </c>
      <c r="B266" s="5" t="s">
        <v>6</v>
      </c>
      <c r="C266" s="5" t="s">
        <v>76</v>
      </c>
      <c r="D266" s="6">
        <v>44825</v>
      </c>
      <c r="E266" s="20">
        <v>806</v>
      </c>
      <c r="F266" s="7">
        <v>1</v>
      </c>
      <c r="J266" s="16"/>
    </row>
    <row r="267" spans="1:10" ht="15.75" thickBot="1" x14ac:dyDescent="0.3">
      <c r="A267" s="4">
        <v>266</v>
      </c>
      <c r="B267" s="5" t="s">
        <v>8</v>
      </c>
      <c r="C267" s="5" t="s">
        <v>77</v>
      </c>
      <c r="D267" s="6">
        <v>44625</v>
      </c>
      <c r="E267" s="20">
        <v>459</v>
      </c>
      <c r="F267" s="7">
        <v>1</v>
      </c>
      <c r="J267" s="16"/>
    </row>
    <row r="268" spans="1:10" ht="30.75" thickBot="1" x14ac:dyDescent="0.3">
      <c r="A268" s="8">
        <v>267</v>
      </c>
      <c r="B268" s="9" t="s">
        <v>10</v>
      </c>
      <c r="C268" s="9" t="s">
        <v>78</v>
      </c>
      <c r="D268" s="10">
        <v>44748</v>
      </c>
      <c r="E268" s="21">
        <v>841</v>
      </c>
      <c r="F268" s="11">
        <v>1</v>
      </c>
      <c r="J268" s="16"/>
    </row>
    <row r="269" spans="1:10" ht="30.75" thickBot="1" x14ac:dyDescent="0.3">
      <c r="A269" s="8">
        <v>268</v>
      </c>
      <c r="B269" s="9" t="s">
        <v>12</v>
      </c>
      <c r="C269" s="9" t="s">
        <v>79</v>
      </c>
      <c r="D269" s="10">
        <v>44905</v>
      </c>
      <c r="E269" s="21">
        <v>447</v>
      </c>
      <c r="F269" s="11">
        <v>1</v>
      </c>
      <c r="J269" s="16"/>
    </row>
    <row r="270" spans="1:10" ht="30.75" thickBot="1" x14ac:dyDescent="0.3">
      <c r="A270" s="4">
        <v>269</v>
      </c>
      <c r="B270" s="5" t="s">
        <v>14</v>
      </c>
      <c r="C270" s="5" t="s">
        <v>80</v>
      </c>
      <c r="D270" s="6">
        <v>44974</v>
      </c>
      <c r="E270" s="20">
        <v>547</v>
      </c>
      <c r="F270" s="7">
        <v>1</v>
      </c>
      <c r="J270" s="16"/>
    </row>
    <row r="271" spans="1:10" ht="30.75" thickBot="1" x14ac:dyDescent="0.3">
      <c r="A271" s="4">
        <v>270</v>
      </c>
      <c r="B271" s="5" t="s">
        <v>16</v>
      </c>
      <c r="C271" s="5" t="s">
        <v>81</v>
      </c>
      <c r="D271" s="6">
        <v>44938</v>
      </c>
      <c r="E271" s="20">
        <v>592</v>
      </c>
      <c r="F271" s="7">
        <v>1</v>
      </c>
      <c r="J271" s="16"/>
    </row>
    <row r="272" spans="1:10" ht="15.75" thickBot="1" x14ac:dyDescent="0.3">
      <c r="A272" s="8">
        <v>271</v>
      </c>
      <c r="B272" s="9" t="s">
        <v>18</v>
      </c>
      <c r="C272" s="9" t="s">
        <v>82</v>
      </c>
      <c r="D272" s="10">
        <v>44733</v>
      </c>
      <c r="E272" s="21">
        <v>767</v>
      </c>
      <c r="F272" s="11">
        <v>1</v>
      </c>
      <c r="J272" s="16"/>
    </row>
    <row r="273" spans="1:10" ht="15.75" thickBot="1" x14ac:dyDescent="0.3">
      <c r="A273" s="8">
        <v>272</v>
      </c>
      <c r="B273" s="9" t="s">
        <v>20</v>
      </c>
      <c r="C273" s="9" t="s">
        <v>83</v>
      </c>
      <c r="D273" s="10">
        <v>44967</v>
      </c>
      <c r="E273" s="21">
        <v>569</v>
      </c>
      <c r="F273" s="11">
        <v>1</v>
      </c>
      <c r="J273" s="16"/>
    </row>
    <row r="274" spans="1:10" ht="30.75" thickBot="1" x14ac:dyDescent="0.3">
      <c r="A274" s="4">
        <v>273</v>
      </c>
      <c r="B274" s="5" t="s">
        <v>22</v>
      </c>
      <c r="C274" s="5" t="s">
        <v>84</v>
      </c>
      <c r="D274" s="6">
        <v>44845</v>
      </c>
      <c r="E274" s="20">
        <v>648</v>
      </c>
      <c r="F274" s="7">
        <v>1</v>
      </c>
      <c r="J274" s="16"/>
    </row>
    <row r="275" spans="1:10" ht="30.75" thickBot="1" x14ac:dyDescent="0.3">
      <c r="A275" s="4">
        <v>274</v>
      </c>
      <c r="B275" s="5" t="s">
        <v>24</v>
      </c>
      <c r="C275" s="5" t="s">
        <v>85</v>
      </c>
      <c r="D275" s="6">
        <v>44715</v>
      </c>
      <c r="E275" s="20">
        <v>501</v>
      </c>
      <c r="F275" s="7">
        <v>1</v>
      </c>
      <c r="J275" s="16"/>
    </row>
    <row r="276" spans="1:10" ht="30.75" thickBot="1" x14ac:dyDescent="0.3">
      <c r="A276" s="8">
        <v>275</v>
      </c>
      <c r="B276" s="9" t="s">
        <v>6</v>
      </c>
      <c r="C276" s="9" t="s">
        <v>86</v>
      </c>
      <c r="D276" s="10">
        <v>44929</v>
      </c>
      <c r="E276" s="21">
        <v>842</v>
      </c>
      <c r="F276" s="11">
        <v>1</v>
      </c>
      <c r="J276" s="16"/>
    </row>
    <row r="277" spans="1:10" ht="15.75" thickBot="1" x14ac:dyDescent="0.3">
      <c r="A277" s="8">
        <v>276</v>
      </c>
      <c r="B277" s="9" t="s">
        <v>8</v>
      </c>
      <c r="C277" s="9" t="s">
        <v>87</v>
      </c>
      <c r="D277" s="10">
        <v>44856</v>
      </c>
      <c r="E277" s="21">
        <v>586</v>
      </c>
      <c r="F277" s="11">
        <v>1</v>
      </c>
      <c r="J277" s="16"/>
    </row>
    <row r="278" spans="1:10" ht="30.75" thickBot="1" x14ac:dyDescent="0.3">
      <c r="A278" s="4">
        <v>277</v>
      </c>
      <c r="B278" s="5" t="s">
        <v>10</v>
      </c>
      <c r="C278" s="5" t="s">
        <v>88</v>
      </c>
      <c r="D278" s="6">
        <v>44690</v>
      </c>
      <c r="E278" s="20">
        <v>662</v>
      </c>
      <c r="F278" s="7">
        <v>1</v>
      </c>
      <c r="J278" s="16"/>
    </row>
    <row r="279" spans="1:10" ht="30.75" thickBot="1" x14ac:dyDescent="0.3">
      <c r="A279" s="4">
        <v>278</v>
      </c>
      <c r="B279" s="5" t="s">
        <v>12</v>
      </c>
      <c r="C279" s="5" t="s">
        <v>89</v>
      </c>
      <c r="D279" s="6">
        <v>44930</v>
      </c>
      <c r="E279" s="20">
        <v>957</v>
      </c>
      <c r="F279" s="7">
        <v>1</v>
      </c>
      <c r="J279" s="16"/>
    </row>
    <row r="280" spans="1:10" ht="30.75" thickBot="1" x14ac:dyDescent="0.3">
      <c r="A280" s="8">
        <v>279</v>
      </c>
      <c r="B280" s="9" t="s">
        <v>14</v>
      </c>
      <c r="C280" s="9" t="s">
        <v>90</v>
      </c>
      <c r="D280" s="10">
        <v>44618</v>
      </c>
      <c r="E280" s="21">
        <v>730</v>
      </c>
      <c r="F280" s="11">
        <v>1</v>
      </c>
      <c r="J280" s="16"/>
    </row>
    <row r="281" spans="1:10" ht="30.75" thickBot="1" x14ac:dyDescent="0.3">
      <c r="A281" s="8">
        <v>280</v>
      </c>
      <c r="B281" s="9" t="s">
        <v>16</v>
      </c>
      <c r="C281" s="9" t="s">
        <v>91</v>
      </c>
      <c r="D281" s="10">
        <v>44798</v>
      </c>
      <c r="E281" s="21">
        <v>699</v>
      </c>
      <c r="F281" s="11">
        <v>1</v>
      </c>
      <c r="J281" s="16"/>
    </row>
    <row r="282" spans="1:10" ht="15.75" thickBot="1" x14ac:dyDescent="0.3">
      <c r="A282" s="4">
        <v>281</v>
      </c>
      <c r="B282" s="5" t="s">
        <v>18</v>
      </c>
      <c r="C282" s="5" t="s">
        <v>92</v>
      </c>
      <c r="D282" s="6">
        <v>44664</v>
      </c>
      <c r="E282" s="20">
        <v>724</v>
      </c>
      <c r="F282" s="7">
        <v>1</v>
      </c>
      <c r="J282" s="16"/>
    </row>
    <row r="283" spans="1:10" ht="15.75" thickBot="1" x14ac:dyDescent="0.3">
      <c r="A283" s="4">
        <v>282</v>
      </c>
      <c r="B283" s="5" t="s">
        <v>20</v>
      </c>
      <c r="C283" s="5" t="s">
        <v>93</v>
      </c>
      <c r="D283" s="6">
        <v>44811</v>
      </c>
      <c r="E283" s="20">
        <v>482</v>
      </c>
      <c r="F283" s="7">
        <v>1</v>
      </c>
      <c r="J283" s="16"/>
    </row>
    <row r="284" spans="1:10" ht="30.75" thickBot="1" x14ac:dyDescent="0.3">
      <c r="A284" s="8">
        <v>283</v>
      </c>
      <c r="B284" s="9" t="s">
        <v>10</v>
      </c>
      <c r="C284" s="9" t="s">
        <v>98</v>
      </c>
      <c r="D284" s="10">
        <v>44751</v>
      </c>
      <c r="E284" s="21">
        <v>609</v>
      </c>
      <c r="F284" s="11">
        <v>1</v>
      </c>
      <c r="J284" s="16"/>
    </row>
    <row r="285" spans="1:10" ht="30.75" thickBot="1" x14ac:dyDescent="0.3">
      <c r="A285" s="8">
        <v>284</v>
      </c>
      <c r="B285" s="9" t="s">
        <v>12</v>
      </c>
      <c r="C285" s="9" t="s">
        <v>99</v>
      </c>
      <c r="D285" s="10">
        <v>44672</v>
      </c>
      <c r="E285" s="21">
        <v>878</v>
      </c>
      <c r="F285" s="11">
        <v>1</v>
      </c>
      <c r="J285" s="16"/>
    </row>
    <row r="286" spans="1:10" ht="30.75" thickBot="1" x14ac:dyDescent="0.3">
      <c r="A286" s="4">
        <v>285</v>
      </c>
      <c r="B286" s="5" t="s">
        <v>14</v>
      </c>
      <c r="C286" s="5" t="s">
        <v>100</v>
      </c>
      <c r="D286" s="6">
        <v>44645</v>
      </c>
      <c r="E286" s="20">
        <v>631</v>
      </c>
      <c r="F286" s="7">
        <v>1</v>
      </c>
      <c r="J286" s="16"/>
    </row>
    <row r="287" spans="1:10" ht="30.75" thickBot="1" x14ac:dyDescent="0.3">
      <c r="A287" s="4">
        <v>286</v>
      </c>
      <c r="B287" s="5" t="s">
        <v>16</v>
      </c>
      <c r="C287" s="5" t="s">
        <v>101</v>
      </c>
      <c r="D287" s="6">
        <v>44726</v>
      </c>
      <c r="E287" s="20">
        <v>962</v>
      </c>
      <c r="F287" s="7">
        <v>1</v>
      </c>
      <c r="J287" s="16"/>
    </row>
    <row r="288" spans="1:10" ht="15.75" thickBot="1" x14ac:dyDescent="0.3">
      <c r="A288" s="8">
        <v>287</v>
      </c>
      <c r="B288" s="9" t="s">
        <v>18</v>
      </c>
      <c r="C288" s="9" t="s">
        <v>102</v>
      </c>
      <c r="D288" s="10">
        <v>44987</v>
      </c>
      <c r="E288" s="21">
        <v>676</v>
      </c>
      <c r="F288" s="11">
        <v>1</v>
      </c>
      <c r="J288" s="16"/>
    </row>
    <row r="289" spans="1:10" ht="15.75" thickBot="1" x14ac:dyDescent="0.3">
      <c r="A289" s="8">
        <v>288</v>
      </c>
      <c r="B289" s="9" t="s">
        <v>20</v>
      </c>
      <c r="C289" s="9" t="s">
        <v>103</v>
      </c>
      <c r="D289" s="10">
        <v>44743</v>
      </c>
      <c r="E289" s="21">
        <v>754</v>
      </c>
      <c r="F289" s="11">
        <v>1</v>
      </c>
      <c r="J289" s="16"/>
    </row>
    <row r="290" spans="1:10" ht="30.75" thickBot="1" x14ac:dyDescent="0.3">
      <c r="A290" s="4">
        <v>289</v>
      </c>
      <c r="B290" s="5" t="s">
        <v>22</v>
      </c>
      <c r="C290" s="5" t="s">
        <v>104</v>
      </c>
      <c r="D290" s="6">
        <v>44916</v>
      </c>
      <c r="E290" s="20">
        <v>752</v>
      </c>
      <c r="F290" s="7">
        <v>1</v>
      </c>
      <c r="J290" s="16"/>
    </row>
    <row r="291" spans="1:10" ht="30.75" thickBot="1" x14ac:dyDescent="0.3">
      <c r="A291" s="4">
        <v>290</v>
      </c>
      <c r="B291" s="5" t="s">
        <v>24</v>
      </c>
      <c r="C291" s="5" t="s">
        <v>105</v>
      </c>
      <c r="D291" s="6">
        <v>44839</v>
      </c>
      <c r="E291" s="20">
        <v>529</v>
      </c>
      <c r="F291" s="7">
        <v>1</v>
      </c>
      <c r="J291" s="16"/>
    </row>
    <row r="292" spans="1:10" ht="30.75" thickBot="1" x14ac:dyDescent="0.3">
      <c r="A292" s="8">
        <v>291</v>
      </c>
      <c r="B292" s="9" t="s">
        <v>6</v>
      </c>
      <c r="C292" s="9" t="s">
        <v>106</v>
      </c>
      <c r="D292" s="10">
        <v>44834</v>
      </c>
      <c r="E292" s="21">
        <v>835</v>
      </c>
      <c r="F292" s="11">
        <v>1</v>
      </c>
      <c r="J292" s="16"/>
    </row>
    <row r="293" spans="1:10" ht="15.75" thickBot="1" x14ac:dyDescent="0.3">
      <c r="A293" s="8">
        <v>292</v>
      </c>
      <c r="B293" s="9" t="s">
        <v>8</v>
      </c>
      <c r="C293" s="9" t="s">
        <v>107</v>
      </c>
      <c r="D293" s="10">
        <v>44777</v>
      </c>
      <c r="E293" s="21">
        <v>671</v>
      </c>
      <c r="F293" s="11">
        <v>1</v>
      </c>
      <c r="J293" s="16"/>
    </row>
    <row r="294" spans="1:10" ht="30.75" thickBot="1" x14ac:dyDescent="0.3">
      <c r="A294" s="4">
        <v>293</v>
      </c>
      <c r="B294" s="5" t="s">
        <v>10</v>
      </c>
      <c r="C294" s="5" t="s">
        <v>108</v>
      </c>
      <c r="D294" s="6">
        <v>44952</v>
      </c>
      <c r="E294" s="20">
        <v>809</v>
      </c>
      <c r="F294" s="7">
        <v>1</v>
      </c>
      <c r="J294" s="16"/>
    </row>
    <row r="295" spans="1:10" ht="30.75" thickBot="1" x14ac:dyDescent="0.3">
      <c r="A295" s="4">
        <v>294</v>
      </c>
      <c r="B295" s="5" t="s">
        <v>12</v>
      </c>
      <c r="C295" s="5" t="s">
        <v>109</v>
      </c>
      <c r="D295" s="6">
        <v>44783</v>
      </c>
      <c r="E295" s="20">
        <v>875</v>
      </c>
      <c r="F295" s="7">
        <v>1</v>
      </c>
      <c r="J295" s="16"/>
    </row>
    <row r="296" spans="1:10" ht="30.75" thickBot="1" x14ac:dyDescent="0.3">
      <c r="A296" s="8">
        <v>295</v>
      </c>
      <c r="B296" s="9" t="s">
        <v>14</v>
      </c>
      <c r="C296" s="9" t="s">
        <v>110</v>
      </c>
      <c r="D296" s="10">
        <v>44797</v>
      </c>
      <c r="E296" s="21">
        <v>626</v>
      </c>
      <c r="F296" s="11">
        <v>1</v>
      </c>
      <c r="J296" s="16"/>
    </row>
    <row r="297" spans="1:10" ht="30.75" thickBot="1" x14ac:dyDescent="0.3">
      <c r="A297" s="8">
        <v>296</v>
      </c>
      <c r="B297" s="9" t="s">
        <v>16</v>
      </c>
      <c r="C297" s="9" t="s">
        <v>111</v>
      </c>
      <c r="D297" s="10">
        <v>44598</v>
      </c>
      <c r="E297" s="21">
        <v>480</v>
      </c>
      <c r="F297" s="11">
        <v>1</v>
      </c>
      <c r="J297" s="16"/>
    </row>
    <row r="298" spans="1:10" ht="15.75" thickBot="1" x14ac:dyDescent="0.3">
      <c r="A298" s="4">
        <v>297</v>
      </c>
      <c r="B298" s="5" t="s">
        <v>18</v>
      </c>
      <c r="C298" s="5" t="s">
        <v>112</v>
      </c>
      <c r="D298" s="6">
        <v>44922</v>
      </c>
      <c r="E298" s="20">
        <v>419</v>
      </c>
      <c r="F298" s="7">
        <v>1</v>
      </c>
      <c r="J298" s="16"/>
    </row>
    <row r="299" spans="1:10" ht="15.75" thickBot="1" x14ac:dyDescent="0.3">
      <c r="A299" s="4">
        <v>298</v>
      </c>
      <c r="B299" s="5" t="s">
        <v>20</v>
      </c>
      <c r="C299" s="5" t="s">
        <v>113</v>
      </c>
      <c r="D299" s="6">
        <v>44890</v>
      </c>
      <c r="E299" s="20">
        <v>599</v>
      </c>
      <c r="F299" s="7">
        <v>1</v>
      </c>
      <c r="J299" s="16"/>
    </row>
    <row r="300" spans="1:10" ht="30.75" thickBot="1" x14ac:dyDescent="0.3">
      <c r="A300" s="8">
        <v>299</v>
      </c>
      <c r="B300" s="9" t="s">
        <v>6</v>
      </c>
      <c r="C300" s="9" t="s">
        <v>7</v>
      </c>
      <c r="D300" s="10">
        <v>44771</v>
      </c>
      <c r="E300" s="21">
        <v>535</v>
      </c>
      <c r="F300" s="11">
        <v>1</v>
      </c>
      <c r="J300" s="16"/>
    </row>
    <row r="301" spans="1:10" ht="15.75" thickBot="1" x14ac:dyDescent="0.3">
      <c r="A301" s="8">
        <v>300</v>
      </c>
      <c r="B301" s="9" t="s">
        <v>8</v>
      </c>
      <c r="C301" s="9" t="s">
        <v>9</v>
      </c>
      <c r="D301" s="10">
        <v>44585</v>
      </c>
      <c r="E301" s="21">
        <v>522</v>
      </c>
      <c r="F301" s="11">
        <v>1</v>
      </c>
      <c r="J301" s="16"/>
    </row>
    <row r="302" spans="1:10" ht="30.75" thickBot="1" x14ac:dyDescent="0.3">
      <c r="A302" s="4">
        <v>301</v>
      </c>
      <c r="B302" s="5" t="s">
        <v>10</v>
      </c>
      <c r="C302" s="5" t="s">
        <v>11</v>
      </c>
      <c r="D302" s="6">
        <v>45017</v>
      </c>
      <c r="E302" s="20">
        <v>837</v>
      </c>
      <c r="F302" s="7">
        <v>1</v>
      </c>
      <c r="J302" s="16"/>
    </row>
    <row r="303" spans="1:10" ht="30.75" thickBot="1" x14ac:dyDescent="0.3">
      <c r="A303" s="4">
        <v>302</v>
      </c>
      <c r="B303" s="5" t="s">
        <v>12</v>
      </c>
      <c r="C303" s="5" t="s">
        <v>13</v>
      </c>
      <c r="D303" s="6">
        <v>44752</v>
      </c>
      <c r="E303" s="20">
        <v>831</v>
      </c>
      <c r="F303" s="7">
        <v>1</v>
      </c>
      <c r="J303" s="16"/>
    </row>
    <row r="304" spans="1:10" ht="30.75" thickBot="1" x14ac:dyDescent="0.3">
      <c r="A304" s="8">
        <v>303</v>
      </c>
      <c r="B304" s="9" t="s">
        <v>14</v>
      </c>
      <c r="C304" s="9" t="s">
        <v>15</v>
      </c>
      <c r="D304" s="10">
        <v>44792</v>
      </c>
      <c r="E304" s="21">
        <v>782</v>
      </c>
      <c r="F304" s="11">
        <v>1</v>
      </c>
      <c r="J304" s="16"/>
    </row>
    <row r="305" spans="1:10" ht="30.75" thickBot="1" x14ac:dyDescent="0.3">
      <c r="A305" s="8">
        <v>304</v>
      </c>
      <c r="B305" s="9" t="s">
        <v>16</v>
      </c>
      <c r="C305" s="9" t="s">
        <v>17</v>
      </c>
      <c r="D305" s="10">
        <v>44660</v>
      </c>
      <c r="E305" s="21">
        <v>636</v>
      </c>
      <c r="F305" s="11">
        <v>1</v>
      </c>
      <c r="J305" s="16"/>
    </row>
    <row r="306" spans="1:10" ht="15.75" thickBot="1" x14ac:dyDescent="0.3">
      <c r="A306" s="4">
        <v>305</v>
      </c>
      <c r="B306" s="5" t="s">
        <v>18</v>
      </c>
      <c r="C306" s="5" t="s">
        <v>19</v>
      </c>
      <c r="D306" s="6">
        <v>45047</v>
      </c>
      <c r="E306" s="20">
        <v>767</v>
      </c>
      <c r="F306" s="7">
        <v>1</v>
      </c>
      <c r="J306" s="16"/>
    </row>
    <row r="307" spans="1:10" ht="15.75" thickBot="1" x14ac:dyDescent="0.3">
      <c r="A307" s="4">
        <v>306</v>
      </c>
      <c r="B307" s="5" t="s">
        <v>20</v>
      </c>
      <c r="C307" s="5" t="s">
        <v>21</v>
      </c>
      <c r="D307" s="6">
        <v>44822</v>
      </c>
      <c r="E307" s="20">
        <v>417</v>
      </c>
      <c r="F307" s="7">
        <v>1</v>
      </c>
      <c r="J307" s="16"/>
    </row>
    <row r="308" spans="1:10" ht="30.75" thickBot="1" x14ac:dyDescent="0.3">
      <c r="A308" s="8">
        <v>307</v>
      </c>
      <c r="B308" s="9" t="s">
        <v>22</v>
      </c>
      <c r="C308" s="9" t="s">
        <v>23</v>
      </c>
      <c r="D308" s="10">
        <v>44637</v>
      </c>
      <c r="E308" s="21">
        <v>782</v>
      </c>
      <c r="F308" s="11">
        <v>1</v>
      </c>
      <c r="J308" s="16"/>
    </row>
    <row r="309" spans="1:10" ht="30.75" thickBot="1" x14ac:dyDescent="0.3">
      <c r="A309" s="8">
        <v>308</v>
      </c>
      <c r="B309" s="9" t="s">
        <v>24</v>
      </c>
      <c r="C309" s="9" t="s">
        <v>25</v>
      </c>
      <c r="D309" s="10">
        <v>44562</v>
      </c>
      <c r="E309" s="21">
        <v>715</v>
      </c>
      <c r="F309" s="11">
        <v>1</v>
      </c>
      <c r="J309" s="16"/>
    </row>
    <row r="310" spans="1:10" ht="30.75" thickBot="1" x14ac:dyDescent="0.3">
      <c r="A310" s="4">
        <v>309</v>
      </c>
      <c r="B310" s="5" t="s">
        <v>6</v>
      </c>
      <c r="C310" s="5" t="s">
        <v>26</v>
      </c>
      <c r="D310" s="6">
        <v>44894</v>
      </c>
      <c r="E310" s="20">
        <v>427</v>
      </c>
      <c r="F310" s="7">
        <v>1</v>
      </c>
      <c r="J310" s="16"/>
    </row>
    <row r="311" spans="1:10" ht="15.75" thickBot="1" x14ac:dyDescent="0.3">
      <c r="A311" s="4">
        <v>310</v>
      </c>
      <c r="B311" s="5" t="s">
        <v>8</v>
      </c>
      <c r="C311" s="5" t="s">
        <v>27</v>
      </c>
      <c r="D311" s="6">
        <v>44961</v>
      </c>
      <c r="E311" s="20">
        <v>871</v>
      </c>
      <c r="F311" s="7">
        <v>1</v>
      </c>
      <c r="J311" s="16"/>
    </row>
    <row r="312" spans="1:10" ht="30.75" thickBot="1" x14ac:dyDescent="0.3">
      <c r="A312" s="8">
        <v>311</v>
      </c>
      <c r="B312" s="9" t="s">
        <v>10</v>
      </c>
      <c r="C312" s="9" t="s">
        <v>28</v>
      </c>
      <c r="D312" s="10">
        <v>44890</v>
      </c>
      <c r="E312" s="21">
        <v>590</v>
      </c>
      <c r="F312" s="11">
        <v>1</v>
      </c>
      <c r="J312" s="16"/>
    </row>
    <row r="313" spans="1:10" ht="30.75" thickBot="1" x14ac:dyDescent="0.3">
      <c r="A313" s="8">
        <v>312</v>
      </c>
      <c r="B313" s="9" t="s">
        <v>12</v>
      </c>
      <c r="C313" s="9" t="s">
        <v>29</v>
      </c>
      <c r="D313" s="10">
        <v>44996</v>
      </c>
      <c r="E313" s="21">
        <v>884</v>
      </c>
      <c r="F313" s="11">
        <v>1</v>
      </c>
      <c r="J313" s="16"/>
    </row>
    <row r="314" spans="1:10" ht="30.75" thickBot="1" x14ac:dyDescent="0.3">
      <c r="A314" s="4">
        <v>313</v>
      </c>
      <c r="B314" s="5" t="s">
        <v>14</v>
      </c>
      <c r="C314" s="5" t="s">
        <v>30</v>
      </c>
      <c r="D314" s="6">
        <v>44726</v>
      </c>
      <c r="E314" s="20">
        <v>939</v>
      </c>
      <c r="F314" s="7">
        <v>1</v>
      </c>
      <c r="J314" s="16"/>
    </row>
    <row r="315" spans="1:10" ht="30.75" thickBot="1" x14ac:dyDescent="0.3">
      <c r="A315" s="4">
        <v>314</v>
      </c>
      <c r="B315" s="5" t="s">
        <v>16</v>
      </c>
      <c r="C315" s="5" t="s">
        <v>31</v>
      </c>
      <c r="D315" s="6">
        <v>45047</v>
      </c>
      <c r="E315" s="20">
        <v>612</v>
      </c>
      <c r="F315" s="7">
        <v>1</v>
      </c>
      <c r="J315" s="16"/>
    </row>
    <row r="316" spans="1:10" ht="15.75" thickBot="1" x14ac:dyDescent="0.3">
      <c r="A316" s="8">
        <v>315</v>
      </c>
      <c r="B316" s="9" t="s">
        <v>18</v>
      </c>
      <c r="C316" s="9" t="s">
        <v>32</v>
      </c>
      <c r="D316" s="10">
        <v>44890</v>
      </c>
      <c r="E316" s="21">
        <v>452</v>
      </c>
      <c r="F316" s="11">
        <v>1</v>
      </c>
      <c r="J316" s="16"/>
    </row>
    <row r="317" spans="1:10" ht="15.75" thickBot="1" x14ac:dyDescent="0.3">
      <c r="A317" s="8">
        <v>316</v>
      </c>
      <c r="B317" s="9" t="s">
        <v>20</v>
      </c>
      <c r="C317" s="9" t="s">
        <v>33</v>
      </c>
      <c r="D317" s="10">
        <v>44800</v>
      </c>
      <c r="E317" s="21">
        <v>995</v>
      </c>
      <c r="F317" s="11">
        <v>1</v>
      </c>
      <c r="J317" s="16"/>
    </row>
    <row r="318" spans="1:10" ht="30.75" thickBot="1" x14ac:dyDescent="0.3">
      <c r="A318" s="4">
        <v>317</v>
      </c>
      <c r="B318" s="5" t="s">
        <v>22</v>
      </c>
      <c r="C318" s="5" t="s">
        <v>34</v>
      </c>
      <c r="D318" s="6">
        <v>44903</v>
      </c>
      <c r="E318" s="20">
        <v>691</v>
      </c>
      <c r="F318" s="7">
        <v>1</v>
      </c>
      <c r="J318" s="16"/>
    </row>
    <row r="319" spans="1:10" ht="30.75" thickBot="1" x14ac:dyDescent="0.3">
      <c r="A319" s="4">
        <v>318</v>
      </c>
      <c r="B319" s="5" t="s">
        <v>24</v>
      </c>
      <c r="C319" s="5" t="s">
        <v>35</v>
      </c>
      <c r="D319" s="6">
        <v>44900</v>
      </c>
      <c r="E319" s="20">
        <v>737</v>
      </c>
      <c r="F319" s="7">
        <v>1</v>
      </c>
      <c r="J319" s="16"/>
    </row>
    <row r="320" spans="1:10" ht="30.75" thickBot="1" x14ac:dyDescent="0.3">
      <c r="A320" s="8">
        <v>319</v>
      </c>
      <c r="B320" s="9" t="s">
        <v>6</v>
      </c>
      <c r="C320" s="9" t="s">
        <v>36</v>
      </c>
      <c r="D320" s="10">
        <v>44753</v>
      </c>
      <c r="E320" s="21">
        <v>459</v>
      </c>
      <c r="F320" s="11">
        <v>1</v>
      </c>
      <c r="J320" s="16"/>
    </row>
    <row r="321" spans="1:10" ht="15.75" thickBot="1" x14ac:dyDescent="0.3">
      <c r="A321" s="8">
        <v>320</v>
      </c>
      <c r="B321" s="9" t="s">
        <v>8</v>
      </c>
      <c r="C321" s="9" t="s">
        <v>37</v>
      </c>
      <c r="D321" s="10">
        <v>44793</v>
      </c>
      <c r="E321" s="21">
        <v>934</v>
      </c>
      <c r="F321" s="11">
        <v>1</v>
      </c>
      <c r="J321" s="16"/>
    </row>
    <row r="322" spans="1:10" ht="30.75" thickBot="1" x14ac:dyDescent="0.3">
      <c r="A322" s="4">
        <v>321</v>
      </c>
      <c r="B322" s="5" t="s">
        <v>10</v>
      </c>
      <c r="C322" s="5" t="s">
        <v>38</v>
      </c>
      <c r="D322" s="6">
        <v>44732</v>
      </c>
      <c r="E322" s="20">
        <v>477</v>
      </c>
      <c r="F322" s="7">
        <v>1</v>
      </c>
      <c r="J322" s="16"/>
    </row>
    <row r="323" spans="1:10" ht="30.75" thickBot="1" x14ac:dyDescent="0.3">
      <c r="A323" s="4">
        <v>322</v>
      </c>
      <c r="B323" s="5" t="s">
        <v>12</v>
      </c>
      <c r="C323" s="5" t="s">
        <v>39</v>
      </c>
      <c r="D323" s="6">
        <v>44939</v>
      </c>
      <c r="E323" s="20">
        <v>881</v>
      </c>
      <c r="F323" s="7">
        <v>1</v>
      </c>
      <c r="J323" s="16"/>
    </row>
    <row r="324" spans="1:10" ht="30.75" thickBot="1" x14ac:dyDescent="0.3">
      <c r="A324" s="8">
        <v>323</v>
      </c>
      <c r="B324" s="9" t="s">
        <v>14</v>
      </c>
      <c r="C324" s="9" t="s">
        <v>40</v>
      </c>
      <c r="D324" s="10">
        <v>44891</v>
      </c>
      <c r="E324" s="21">
        <v>424</v>
      </c>
      <c r="F324" s="11">
        <v>1</v>
      </c>
      <c r="J324" s="16"/>
    </row>
    <row r="325" spans="1:10" ht="30.75" thickBot="1" x14ac:dyDescent="0.3">
      <c r="A325" s="8">
        <v>324</v>
      </c>
      <c r="B325" s="9" t="s">
        <v>16</v>
      </c>
      <c r="C325" s="9" t="s">
        <v>41</v>
      </c>
      <c r="D325" s="10">
        <v>44902</v>
      </c>
      <c r="E325" s="21">
        <v>402</v>
      </c>
      <c r="F325" s="11">
        <v>1</v>
      </c>
      <c r="J325" s="16"/>
    </row>
    <row r="326" spans="1:10" ht="15.75" thickBot="1" x14ac:dyDescent="0.3">
      <c r="A326" s="4">
        <v>325</v>
      </c>
      <c r="B326" s="5" t="s">
        <v>18</v>
      </c>
      <c r="C326" s="5" t="s">
        <v>42</v>
      </c>
      <c r="D326" s="6">
        <v>44772</v>
      </c>
      <c r="E326" s="20">
        <v>645</v>
      </c>
      <c r="F326" s="7">
        <v>1</v>
      </c>
      <c r="J326" s="16"/>
    </row>
    <row r="327" spans="1:10" ht="15.75" thickBot="1" x14ac:dyDescent="0.3">
      <c r="A327" s="4">
        <v>326</v>
      </c>
      <c r="B327" s="5" t="s">
        <v>20</v>
      </c>
      <c r="C327" s="5" t="s">
        <v>43</v>
      </c>
      <c r="D327" s="6">
        <v>44983</v>
      </c>
      <c r="E327" s="20">
        <v>475</v>
      </c>
      <c r="F327" s="7">
        <v>1</v>
      </c>
      <c r="J327" s="16"/>
    </row>
    <row r="328" spans="1:10" ht="30.75" thickBot="1" x14ac:dyDescent="0.3">
      <c r="A328" s="8">
        <v>327</v>
      </c>
      <c r="B328" s="9" t="s">
        <v>22</v>
      </c>
      <c r="C328" s="9" t="s">
        <v>44</v>
      </c>
      <c r="D328" s="10">
        <v>44900</v>
      </c>
      <c r="E328" s="21">
        <v>838</v>
      </c>
      <c r="F328" s="11">
        <v>1</v>
      </c>
      <c r="J328" s="16"/>
    </row>
    <row r="329" spans="1:10" ht="30.75" thickBot="1" x14ac:dyDescent="0.3">
      <c r="A329" s="8">
        <v>328</v>
      </c>
      <c r="B329" s="9" t="s">
        <v>24</v>
      </c>
      <c r="C329" s="9" t="s">
        <v>45</v>
      </c>
      <c r="D329" s="10">
        <v>44977</v>
      </c>
      <c r="E329" s="21">
        <v>712</v>
      </c>
      <c r="F329" s="11">
        <v>1</v>
      </c>
      <c r="J329" s="16"/>
    </row>
    <row r="330" spans="1:10" ht="30.75" thickBot="1" x14ac:dyDescent="0.3">
      <c r="A330" s="4">
        <v>329</v>
      </c>
      <c r="B330" s="5" t="s">
        <v>6</v>
      </c>
      <c r="C330" s="5" t="s">
        <v>46</v>
      </c>
      <c r="D330" s="6">
        <v>44762</v>
      </c>
      <c r="E330" s="20">
        <v>792</v>
      </c>
      <c r="F330" s="7">
        <v>1</v>
      </c>
      <c r="J330" s="16"/>
    </row>
    <row r="331" spans="1:10" ht="15.75" thickBot="1" x14ac:dyDescent="0.3">
      <c r="A331" s="4">
        <v>330</v>
      </c>
      <c r="B331" s="5" t="s">
        <v>8</v>
      </c>
      <c r="C331" s="5" t="s">
        <v>47</v>
      </c>
      <c r="D331" s="6">
        <v>45011</v>
      </c>
      <c r="E331" s="20">
        <v>522</v>
      </c>
      <c r="F331" s="7">
        <v>1</v>
      </c>
      <c r="J331" s="16"/>
    </row>
    <row r="332" spans="1:10" ht="30.75" thickBot="1" x14ac:dyDescent="0.3">
      <c r="A332" s="8">
        <v>331</v>
      </c>
      <c r="B332" s="9" t="s">
        <v>10</v>
      </c>
      <c r="C332" s="9" t="s">
        <v>48</v>
      </c>
      <c r="D332" s="10">
        <v>45015</v>
      </c>
      <c r="E332" s="21">
        <v>466</v>
      </c>
      <c r="F332" s="11">
        <v>1</v>
      </c>
      <c r="J332" s="16"/>
    </row>
    <row r="333" spans="1:10" ht="30.75" thickBot="1" x14ac:dyDescent="0.3">
      <c r="A333" s="8">
        <v>332</v>
      </c>
      <c r="B333" s="9" t="s">
        <v>12</v>
      </c>
      <c r="C333" s="9" t="s">
        <v>49</v>
      </c>
      <c r="D333" s="10">
        <v>44816</v>
      </c>
      <c r="E333" s="21">
        <v>617</v>
      </c>
      <c r="F333" s="11">
        <v>1</v>
      </c>
      <c r="J333" s="16"/>
    </row>
    <row r="334" spans="1:10" ht="30.75" thickBot="1" x14ac:dyDescent="0.3">
      <c r="A334" s="4">
        <v>333</v>
      </c>
      <c r="B334" s="5" t="s">
        <v>14</v>
      </c>
      <c r="C334" s="5" t="s">
        <v>50</v>
      </c>
      <c r="D334" s="6">
        <v>44655</v>
      </c>
      <c r="E334" s="20">
        <v>551</v>
      </c>
      <c r="F334" s="7">
        <v>1</v>
      </c>
      <c r="J334" s="16"/>
    </row>
    <row r="335" spans="1:10" ht="30.75" thickBot="1" x14ac:dyDescent="0.3">
      <c r="A335" s="4">
        <v>334</v>
      </c>
      <c r="B335" s="5" t="s">
        <v>16</v>
      </c>
      <c r="C335" s="5" t="s">
        <v>51</v>
      </c>
      <c r="D335" s="6">
        <v>44933</v>
      </c>
      <c r="E335" s="20">
        <v>756</v>
      </c>
      <c r="F335" s="7">
        <v>1</v>
      </c>
      <c r="J335" s="16"/>
    </row>
    <row r="336" spans="1:10" ht="15.75" thickBot="1" x14ac:dyDescent="0.3">
      <c r="A336" s="8">
        <v>335</v>
      </c>
      <c r="B336" s="9" t="s">
        <v>18</v>
      </c>
      <c r="C336" s="9" t="s">
        <v>52</v>
      </c>
      <c r="D336" s="10">
        <v>44963</v>
      </c>
      <c r="E336" s="21">
        <v>727</v>
      </c>
      <c r="F336" s="11">
        <v>1</v>
      </c>
      <c r="J336" s="16"/>
    </row>
    <row r="337" spans="1:10" ht="15.75" thickBot="1" x14ac:dyDescent="0.3">
      <c r="A337" s="8">
        <v>336</v>
      </c>
      <c r="B337" s="9" t="s">
        <v>20</v>
      </c>
      <c r="C337" s="9" t="s">
        <v>53</v>
      </c>
      <c r="D337" s="10">
        <v>44818</v>
      </c>
      <c r="E337" s="21">
        <v>429</v>
      </c>
      <c r="F337" s="11">
        <v>1</v>
      </c>
      <c r="J337" s="16"/>
    </row>
    <row r="338" spans="1:10" ht="30.75" thickBot="1" x14ac:dyDescent="0.3">
      <c r="A338" s="4">
        <v>337</v>
      </c>
      <c r="B338" s="5" t="s">
        <v>22</v>
      </c>
      <c r="C338" s="5" t="s">
        <v>54</v>
      </c>
      <c r="D338" s="6">
        <v>44893</v>
      </c>
      <c r="E338" s="20">
        <v>691</v>
      </c>
      <c r="F338" s="7">
        <v>1</v>
      </c>
      <c r="J338" s="16"/>
    </row>
    <row r="339" spans="1:10" ht="30.75" thickBot="1" x14ac:dyDescent="0.3">
      <c r="A339" s="4">
        <v>338</v>
      </c>
      <c r="B339" s="5" t="s">
        <v>24</v>
      </c>
      <c r="C339" s="5" t="s">
        <v>55</v>
      </c>
      <c r="D339" s="6">
        <v>44728</v>
      </c>
      <c r="E339" s="20">
        <v>491</v>
      </c>
      <c r="F339" s="7">
        <v>1</v>
      </c>
      <c r="J339" s="16"/>
    </row>
    <row r="340" spans="1:10" ht="30.75" thickBot="1" x14ac:dyDescent="0.3">
      <c r="A340" s="8">
        <v>339</v>
      </c>
      <c r="B340" s="9" t="s">
        <v>6</v>
      </c>
      <c r="C340" s="9" t="s">
        <v>56</v>
      </c>
      <c r="D340" s="10">
        <v>44794</v>
      </c>
      <c r="E340" s="21">
        <v>928</v>
      </c>
      <c r="F340" s="11">
        <v>1</v>
      </c>
      <c r="J340" s="16"/>
    </row>
    <row r="341" spans="1:10" ht="15.75" thickBot="1" x14ac:dyDescent="0.3">
      <c r="A341" s="8">
        <v>340</v>
      </c>
      <c r="B341" s="9" t="s">
        <v>8</v>
      </c>
      <c r="C341" s="9" t="s">
        <v>57</v>
      </c>
      <c r="D341" s="10">
        <v>44845</v>
      </c>
      <c r="E341" s="21">
        <v>891</v>
      </c>
      <c r="F341" s="11">
        <v>1</v>
      </c>
      <c r="J341" s="16"/>
    </row>
    <row r="342" spans="1:10" ht="30.75" thickBot="1" x14ac:dyDescent="0.3">
      <c r="A342" s="4">
        <v>341</v>
      </c>
      <c r="B342" s="5" t="s">
        <v>10</v>
      </c>
      <c r="C342" s="5" t="s">
        <v>58</v>
      </c>
      <c r="D342" s="6">
        <v>45012</v>
      </c>
      <c r="E342" s="20">
        <v>471</v>
      </c>
      <c r="F342" s="7">
        <v>1</v>
      </c>
      <c r="J342" s="16"/>
    </row>
    <row r="343" spans="1:10" ht="15.75" thickBot="1" x14ac:dyDescent="0.3">
      <c r="A343" s="4">
        <v>342</v>
      </c>
      <c r="B343" s="5" t="s">
        <v>8</v>
      </c>
      <c r="C343" s="5" t="s">
        <v>114</v>
      </c>
      <c r="D343" s="6">
        <v>44845</v>
      </c>
      <c r="E343" s="20">
        <v>579</v>
      </c>
      <c r="F343" s="7">
        <v>1</v>
      </c>
      <c r="J343" s="16"/>
    </row>
    <row r="344" spans="1:10" ht="30.75" thickBot="1" x14ac:dyDescent="0.3">
      <c r="A344" s="8">
        <v>343</v>
      </c>
      <c r="B344" s="9" t="s">
        <v>10</v>
      </c>
      <c r="C344" s="9" t="s">
        <v>115</v>
      </c>
      <c r="D344" s="10">
        <v>45012</v>
      </c>
      <c r="E344" s="21">
        <v>609</v>
      </c>
      <c r="F344" s="11">
        <v>1</v>
      </c>
      <c r="J344" s="16"/>
    </row>
    <row r="345" spans="1:10" ht="30.75" thickBot="1" x14ac:dyDescent="0.3">
      <c r="A345" s="8">
        <v>344</v>
      </c>
      <c r="B345" s="9" t="s">
        <v>12</v>
      </c>
      <c r="C345" s="9" t="s">
        <v>116</v>
      </c>
      <c r="D345" s="10">
        <v>44654</v>
      </c>
      <c r="E345" s="21">
        <v>575</v>
      </c>
      <c r="F345" s="11">
        <v>1</v>
      </c>
      <c r="J345" s="16"/>
    </row>
    <row r="346" spans="1:10" ht="30.75" thickBot="1" x14ac:dyDescent="0.3">
      <c r="A346" s="4">
        <v>345</v>
      </c>
      <c r="B346" s="5" t="s">
        <v>14</v>
      </c>
      <c r="C346" s="5" t="s">
        <v>117</v>
      </c>
      <c r="D346" s="6">
        <v>44823</v>
      </c>
      <c r="E346" s="20">
        <v>456</v>
      </c>
      <c r="F346" s="7">
        <v>1</v>
      </c>
      <c r="J346" s="16"/>
    </row>
    <row r="347" spans="1:10" ht="30.75" thickBot="1" x14ac:dyDescent="0.3">
      <c r="A347" s="4">
        <v>346</v>
      </c>
      <c r="B347" s="5" t="s">
        <v>16</v>
      </c>
      <c r="C347" s="5" t="s">
        <v>118</v>
      </c>
      <c r="D347" s="6">
        <v>44931</v>
      </c>
      <c r="E347" s="20">
        <v>474</v>
      </c>
      <c r="F347" s="7">
        <v>1</v>
      </c>
      <c r="J347" s="16"/>
    </row>
    <row r="348" spans="1:10" ht="15.75" thickBot="1" x14ac:dyDescent="0.3">
      <c r="A348" s="8">
        <v>347</v>
      </c>
      <c r="B348" s="9" t="s">
        <v>18</v>
      </c>
      <c r="C348" s="9" t="s">
        <v>119</v>
      </c>
      <c r="D348" s="10">
        <v>44732</v>
      </c>
      <c r="E348" s="21">
        <v>623</v>
      </c>
      <c r="F348" s="11">
        <v>1</v>
      </c>
      <c r="J348" s="16"/>
    </row>
    <row r="349" spans="1:10" ht="15.75" thickBot="1" x14ac:dyDescent="0.3">
      <c r="A349" s="8">
        <v>348</v>
      </c>
      <c r="B349" s="9" t="s">
        <v>20</v>
      </c>
      <c r="C349" s="9" t="s">
        <v>120</v>
      </c>
      <c r="D349" s="10">
        <v>44906</v>
      </c>
      <c r="E349" s="21">
        <v>501</v>
      </c>
      <c r="F349" s="11">
        <v>1</v>
      </c>
      <c r="J349" s="16"/>
    </row>
    <row r="350" spans="1:10" ht="30.75" thickBot="1" x14ac:dyDescent="0.3">
      <c r="A350" s="4">
        <v>349</v>
      </c>
      <c r="B350" s="5" t="s">
        <v>22</v>
      </c>
      <c r="C350" s="5" t="s">
        <v>121</v>
      </c>
      <c r="D350" s="6">
        <v>44797</v>
      </c>
      <c r="E350" s="20">
        <v>968</v>
      </c>
      <c r="F350" s="7">
        <v>1</v>
      </c>
      <c r="J350" s="16"/>
    </row>
    <row r="351" spans="1:10" ht="30.75" thickBot="1" x14ac:dyDescent="0.3">
      <c r="A351" s="4">
        <v>350</v>
      </c>
      <c r="B351" s="5" t="s">
        <v>24</v>
      </c>
      <c r="C351" s="5" t="s">
        <v>122</v>
      </c>
      <c r="D351" s="6">
        <v>44673</v>
      </c>
      <c r="E351" s="20">
        <v>770</v>
      </c>
      <c r="F351" s="7">
        <v>1</v>
      </c>
      <c r="J351" s="16"/>
    </row>
    <row r="352" spans="1:10" ht="30.75" thickBot="1" x14ac:dyDescent="0.3">
      <c r="A352" s="8">
        <v>351</v>
      </c>
      <c r="B352" s="9" t="s">
        <v>6</v>
      </c>
      <c r="C352" s="9" t="s">
        <v>123</v>
      </c>
      <c r="D352" s="10">
        <v>44821</v>
      </c>
      <c r="E352" s="21">
        <v>967</v>
      </c>
      <c r="F352" s="11">
        <v>1</v>
      </c>
      <c r="J352" s="16"/>
    </row>
    <row r="353" spans="1:10" ht="15.75" thickBot="1" x14ac:dyDescent="0.3">
      <c r="A353" s="8">
        <v>352</v>
      </c>
      <c r="B353" s="9" t="s">
        <v>8</v>
      </c>
      <c r="C353" s="9" t="s">
        <v>124</v>
      </c>
      <c r="D353" s="10">
        <v>44735</v>
      </c>
      <c r="E353" s="21">
        <v>953</v>
      </c>
      <c r="F353" s="11">
        <v>1</v>
      </c>
      <c r="J353" s="16"/>
    </row>
    <row r="354" spans="1:10" ht="30.75" thickBot="1" x14ac:dyDescent="0.3">
      <c r="A354" s="4">
        <v>353</v>
      </c>
      <c r="B354" s="5" t="s">
        <v>10</v>
      </c>
      <c r="C354" s="5" t="s">
        <v>125</v>
      </c>
      <c r="D354" s="6">
        <v>44667</v>
      </c>
      <c r="E354" s="20">
        <v>968</v>
      </c>
      <c r="F354" s="7">
        <v>1</v>
      </c>
      <c r="J354" s="16"/>
    </row>
    <row r="355" spans="1:10" ht="30.75" thickBot="1" x14ac:dyDescent="0.3">
      <c r="A355" s="4">
        <v>354</v>
      </c>
      <c r="B355" s="5" t="s">
        <v>12</v>
      </c>
      <c r="C355" s="5" t="s">
        <v>126</v>
      </c>
      <c r="D355" s="6">
        <v>45012</v>
      </c>
      <c r="E355" s="20">
        <v>879</v>
      </c>
      <c r="F355" s="7">
        <v>1</v>
      </c>
      <c r="J355" s="16"/>
    </row>
    <row r="356" spans="1:10" ht="30.75" thickBot="1" x14ac:dyDescent="0.3">
      <c r="A356" s="8">
        <v>355</v>
      </c>
      <c r="B356" s="9" t="s">
        <v>14</v>
      </c>
      <c r="C356" s="9" t="s">
        <v>127</v>
      </c>
      <c r="D356" s="10">
        <v>44986</v>
      </c>
      <c r="E356" s="21">
        <v>557</v>
      </c>
      <c r="F356" s="11">
        <v>1</v>
      </c>
      <c r="J356" s="16"/>
    </row>
    <row r="357" spans="1:10" ht="30.75" thickBot="1" x14ac:dyDescent="0.3">
      <c r="A357" s="8">
        <v>356</v>
      </c>
      <c r="B357" s="9" t="s">
        <v>16</v>
      </c>
      <c r="C357" s="9" t="s">
        <v>128</v>
      </c>
      <c r="D357" s="10">
        <v>44713</v>
      </c>
      <c r="E357" s="21">
        <v>565</v>
      </c>
      <c r="F357" s="11">
        <v>1</v>
      </c>
      <c r="J357" s="16"/>
    </row>
    <row r="358" spans="1:10" ht="15.75" thickBot="1" x14ac:dyDescent="0.3">
      <c r="A358" s="4">
        <v>357</v>
      </c>
      <c r="B358" s="5" t="s">
        <v>18</v>
      </c>
      <c r="C358" s="5" t="s">
        <v>129</v>
      </c>
      <c r="D358" s="6">
        <v>44695</v>
      </c>
      <c r="E358" s="20">
        <v>842</v>
      </c>
      <c r="F358" s="7">
        <v>1</v>
      </c>
      <c r="J358" s="16"/>
    </row>
    <row r="359" spans="1:10" ht="15.75" thickBot="1" x14ac:dyDescent="0.3">
      <c r="A359" s="4">
        <v>358</v>
      </c>
      <c r="B359" s="5" t="s">
        <v>20</v>
      </c>
      <c r="C359" s="5" t="s">
        <v>130</v>
      </c>
      <c r="D359" s="6">
        <v>44868</v>
      </c>
      <c r="E359" s="20">
        <v>867</v>
      </c>
      <c r="F359" s="7">
        <v>1</v>
      </c>
      <c r="J359" s="16"/>
    </row>
    <row r="360" spans="1:10" ht="30.75" thickBot="1" x14ac:dyDescent="0.3">
      <c r="A360" s="8">
        <v>359</v>
      </c>
      <c r="B360" s="9" t="s">
        <v>22</v>
      </c>
      <c r="C360" s="9" t="s">
        <v>131</v>
      </c>
      <c r="D360" s="10">
        <v>44930</v>
      </c>
      <c r="E360" s="21">
        <v>938</v>
      </c>
      <c r="F360" s="11">
        <v>1</v>
      </c>
      <c r="J360" s="16"/>
    </row>
    <row r="361" spans="1:10" ht="30.75" thickBot="1" x14ac:dyDescent="0.3">
      <c r="A361" s="8">
        <v>360</v>
      </c>
      <c r="B361" s="9" t="s">
        <v>24</v>
      </c>
      <c r="C361" s="9" t="s">
        <v>132</v>
      </c>
      <c r="D361" s="10">
        <v>44895</v>
      </c>
      <c r="E361" s="21">
        <v>932</v>
      </c>
      <c r="F361" s="11">
        <v>1</v>
      </c>
      <c r="J361" s="16"/>
    </row>
    <row r="362" spans="1:10" ht="30.75" thickBot="1" x14ac:dyDescent="0.3">
      <c r="A362" s="4">
        <v>361</v>
      </c>
      <c r="B362" s="5" t="s">
        <v>6</v>
      </c>
      <c r="C362" s="5" t="s">
        <v>133</v>
      </c>
      <c r="D362" s="6">
        <v>44825</v>
      </c>
      <c r="E362" s="20">
        <v>756</v>
      </c>
      <c r="F362" s="7">
        <v>1</v>
      </c>
      <c r="J362" s="16"/>
    </row>
    <row r="363" spans="1:10" ht="15.75" thickBot="1" x14ac:dyDescent="0.3">
      <c r="A363" s="4">
        <v>362</v>
      </c>
      <c r="B363" s="5" t="s">
        <v>8</v>
      </c>
      <c r="C363" s="5" t="s">
        <v>134</v>
      </c>
      <c r="D363" s="6">
        <v>44625</v>
      </c>
      <c r="E363" s="20">
        <v>783</v>
      </c>
      <c r="F363" s="7">
        <v>1</v>
      </c>
      <c r="J363" s="16"/>
    </row>
    <row r="364" spans="1:10" ht="30.75" thickBot="1" x14ac:dyDescent="0.3">
      <c r="A364" s="8">
        <v>363</v>
      </c>
      <c r="B364" s="9" t="s">
        <v>10</v>
      </c>
      <c r="C364" s="9" t="s">
        <v>135</v>
      </c>
      <c r="D364" s="10">
        <v>44748</v>
      </c>
      <c r="E364" s="21">
        <v>816</v>
      </c>
      <c r="F364" s="11">
        <v>1</v>
      </c>
      <c r="J364" s="16"/>
    </row>
    <row r="365" spans="1:10" ht="30.75" thickBot="1" x14ac:dyDescent="0.3">
      <c r="A365" s="8">
        <v>364</v>
      </c>
      <c r="B365" s="9" t="s">
        <v>12</v>
      </c>
      <c r="C365" s="9" t="s">
        <v>136</v>
      </c>
      <c r="D365" s="10">
        <v>44905</v>
      </c>
      <c r="E365" s="21">
        <v>638</v>
      </c>
      <c r="F365" s="11">
        <v>1</v>
      </c>
      <c r="J365" s="16"/>
    </row>
    <row r="366" spans="1:10" ht="30.75" thickBot="1" x14ac:dyDescent="0.3">
      <c r="A366" s="4">
        <v>365</v>
      </c>
      <c r="B366" s="5" t="s">
        <v>14</v>
      </c>
      <c r="C366" s="5" t="s">
        <v>137</v>
      </c>
      <c r="D366" s="6">
        <v>44974</v>
      </c>
      <c r="E366" s="20">
        <v>531</v>
      </c>
      <c r="F366" s="7">
        <v>1</v>
      </c>
      <c r="J366" s="16"/>
    </row>
    <row r="367" spans="1:10" ht="30.75" thickBot="1" x14ac:dyDescent="0.3">
      <c r="A367" s="4">
        <v>366</v>
      </c>
      <c r="B367" s="5" t="s">
        <v>16</v>
      </c>
      <c r="C367" s="5" t="s">
        <v>138</v>
      </c>
      <c r="D367" s="6">
        <v>44938</v>
      </c>
      <c r="E367" s="20">
        <v>577</v>
      </c>
      <c r="F367" s="7">
        <v>1</v>
      </c>
      <c r="J367" s="16"/>
    </row>
    <row r="368" spans="1:10" ht="15.75" thickBot="1" x14ac:dyDescent="0.3">
      <c r="A368" s="8">
        <v>367</v>
      </c>
      <c r="B368" s="9" t="s">
        <v>18</v>
      </c>
      <c r="C368" s="9" t="s">
        <v>139</v>
      </c>
      <c r="D368" s="10">
        <v>44733</v>
      </c>
      <c r="E368" s="21">
        <v>638</v>
      </c>
      <c r="F368" s="11">
        <v>1</v>
      </c>
      <c r="J368" s="16"/>
    </row>
    <row r="369" spans="1:10" ht="15.75" thickBot="1" x14ac:dyDescent="0.3">
      <c r="A369" s="8">
        <v>368</v>
      </c>
      <c r="B369" s="9" t="s">
        <v>20</v>
      </c>
      <c r="C369" s="9" t="s">
        <v>140</v>
      </c>
      <c r="D369" s="10">
        <v>44967</v>
      </c>
      <c r="E369" s="21">
        <v>764</v>
      </c>
      <c r="F369" s="11">
        <v>1</v>
      </c>
      <c r="J369" s="16"/>
    </row>
    <row r="370" spans="1:10" ht="30.75" thickBot="1" x14ac:dyDescent="0.3">
      <c r="A370" s="4">
        <v>369</v>
      </c>
      <c r="B370" s="5" t="s">
        <v>22</v>
      </c>
      <c r="C370" s="5" t="s">
        <v>141</v>
      </c>
      <c r="D370" s="6">
        <v>44845</v>
      </c>
      <c r="E370" s="20">
        <v>948</v>
      </c>
      <c r="F370" s="7">
        <v>1</v>
      </c>
      <c r="J370" s="16"/>
    </row>
    <row r="371" spans="1:10" ht="30.75" thickBot="1" x14ac:dyDescent="0.3">
      <c r="A371" s="4">
        <v>370</v>
      </c>
      <c r="B371" s="5" t="s">
        <v>6</v>
      </c>
      <c r="C371" s="5" t="s">
        <v>7</v>
      </c>
      <c r="D371" s="6">
        <v>44771</v>
      </c>
      <c r="E371" s="20">
        <v>923</v>
      </c>
      <c r="F371" s="7">
        <v>1</v>
      </c>
      <c r="J371" s="16"/>
    </row>
    <row r="372" spans="1:10" ht="15.75" thickBot="1" x14ac:dyDescent="0.3">
      <c r="A372" s="8">
        <v>371</v>
      </c>
      <c r="B372" s="9" t="s">
        <v>8</v>
      </c>
      <c r="C372" s="9" t="s">
        <v>9</v>
      </c>
      <c r="D372" s="10">
        <v>44585</v>
      </c>
      <c r="E372" s="21">
        <v>871</v>
      </c>
      <c r="F372" s="11">
        <v>1</v>
      </c>
      <c r="J372" s="16"/>
    </row>
    <row r="373" spans="1:10" ht="30.75" thickBot="1" x14ac:dyDescent="0.3">
      <c r="A373" s="8">
        <v>372</v>
      </c>
      <c r="B373" s="9" t="s">
        <v>10</v>
      </c>
      <c r="C373" s="9" t="s">
        <v>11</v>
      </c>
      <c r="D373" s="10">
        <v>45017</v>
      </c>
      <c r="E373" s="21">
        <v>578</v>
      </c>
      <c r="F373" s="11">
        <v>1</v>
      </c>
      <c r="J373" s="16"/>
    </row>
    <row r="374" spans="1:10" ht="30.75" thickBot="1" x14ac:dyDescent="0.3">
      <c r="A374" s="4">
        <v>373</v>
      </c>
      <c r="B374" s="5" t="s">
        <v>12</v>
      </c>
      <c r="C374" s="5" t="s">
        <v>13</v>
      </c>
      <c r="D374" s="6">
        <v>44752</v>
      </c>
      <c r="E374" s="20">
        <v>494</v>
      </c>
      <c r="F374" s="7">
        <v>1</v>
      </c>
      <c r="J374" s="16"/>
    </row>
    <row r="375" spans="1:10" ht="30.75" thickBot="1" x14ac:dyDescent="0.3">
      <c r="A375" s="4">
        <v>374</v>
      </c>
      <c r="B375" s="5" t="s">
        <v>14</v>
      </c>
      <c r="C375" s="5" t="s">
        <v>15</v>
      </c>
      <c r="D375" s="6">
        <v>44792</v>
      </c>
      <c r="E375" s="20">
        <v>738</v>
      </c>
      <c r="F375" s="7">
        <v>1</v>
      </c>
      <c r="J375" s="16"/>
    </row>
    <row r="376" spans="1:10" ht="30.75" thickBot="1" x14ac:dyDescent="0.3">
      <c r="A376" s="8">
        <v>375</v>
      </c>
      <c r="B376" s="9" t="s">
        <v>16</v>
      </c>
      <c r="C376" s="9" t="s">
        <v>17</v>
      </c>
      <c r="D376" s="10">
        <v>44660</v>
      </c>
      <c r="E376" s="21">
        <v>743</v>
      </c>
      <c r="F376" s="11">
        <v>1</v>
      </c>
      <c r="J376" s="16"/>
    </row>
    <row r="377" spans="1:10" ht="15.75" thickBot="1" x14ac:dyDescent="0.3">
      <c r="A377" s="8">
        <v>376</v>
      </c>
      <c r="B377" s="9" t="s">
        <v>18</v>
      </c>
      <c r="C377" s="9" t="s">
        <v>19</v>
      </c>
      <c r="D377" s="10">
        <v>45047</v>
      </c>
      <c r="E377" s="21">
        <v>458</v>
      </c>
      <c r="F377" s="11">
        <v>1</v>
      </c>
      <c r="J377" s="16"/>
    </row>
    <row r="378" spans="1:10" ht="15.75" thickBot="1" x14ac:dyDescent="0.3">
      <c r="A378" s="4">
        <v>377</v>
      </c>
      <c r="B378" s="5" t="s">
        <v>20</v>
      </c>
      <c r="C378" s="5" t="s">
        <v>21</v>
      </c>
      <c r="D378" s="6">
        <v>44822</v>
      </c>
      <c r="E378" s="20">
        <v>689</v>
      </c>
      <c r="F378" s="7">
        <v>1</v>
      </c>
      <c r="J378" s="16"/>
    </row>
    <row r="379" spans="1:10" ht="30.75" thickBot="1" x14ac:dyDescent="0.3">
      <c r="A379" s="4">
        <v>378</v>
      </c>
      <c r="B379" s="5" t="s">
        <v>22</v>
      </c>
      <c r="C379" s="5" t="s">
        <v>23</v>
      </c>
      <c r="D379" s="6">
        <v>44637</v>
      </c>
      <c r="E379" s="20">
        <v>529</v>
      </c>
      <c r="F379" s="7">
        <v>1</v>
      </c>
      <c r="J379" s="16"/>
    </row>
    <row r="380" spans="1:10" ht="30.75" thickBot="1" x14ac:dyDescent="0.3">
      <c r="A380" s="8">
        <v>379</v>
      </c>
      <c r="B380" s="9" t="s">
        <v>24</v>
      </c>
      <c r="C380" s="9" t="s">
        <v>25</v>
      </c>
      <c r="D380" s="10">
        <v>44562</v>
      </c>
      <c r="E380" s="21">
        <v>493</v>
      </c>
      <c r="F380" s="11">
        <v>1</v>
      </c>
      <c r="J380" s="16"/>
    </row>
    <row r="381" spans="1:10" ht="30.75" thickBot="1" x14ac:dyDescent="0.3">
      <c r="A381" s="8">
        <v>380</v>
      </c>
      <c r="B381" s="9" t="s">
        <v>6</v>
      </c>
      <c r="C381" s="9" t="s">
        <v>26</v>
      </c>
      <c r="D381" s="10">
        <v>44894</v>
      </c>
      <c r="E381" s="21">
        <v>927</v>
      </c>
      <c r="F381" s="11">
        <v>1</v>
      </c>
      <c r="J381" s="16"/>
    </row>
    <row r="382" spans="1:10" ht="15.75" thickBot="1" x14ac:dyDescent="0.3">
      <c r="A382" s="4">
        <v>381</v>
      </c>
      <c r="B382" s="5" t="s">
        <v>8</v>
      </c>
      <c r="C382" s="5" t="s">
        <v>27</v>
      </c>
      <c r="D382" s="6">
        <v>44961</v>
      </c>
      <c r="E382" s="20">
        <v>841</v>
      </c>
      <c r="F382" s="7">
        <v>1</v>
      </c>
      <c r="J382" s="16"/>
    </row>
    <row r="383" spans="1:10" ht="30.75" thickBot="1" x14ac:dyDescent="0.3">
      <c r="A383" s="4">
        <v>382</v>
      </c>
      <c r="B383" s="5" t="s">
        <v>10</v>
      </c>
      <c r="C383" s="5" t="s">
        <v>28</v>
      </c>
      <c r="D383" s="6">
        <v>44890</v>
      </c>
      <c r="E383" s="20">
        <v>406</v>
      </c>
      <c r="F383" s="7">
        <v>1</v>
      </c>
      <c r="J383" s="16"/>
    </row>
    <row r="384" spans="1:10" ht="30.75" thickBot="1" x14ac:dyDescent="0.3">
      <c r="A384" s="8">
        <v>383</v>
      </c>
      <c r="B384" s="9" t="s">
        <v>12</v>
      </c>
      <c r="C384" s="9" t="s">
        <v>29</v>
      </c>
      <c r="D384" s="10">
        <v>44996</v>
      </c>
      <c r="E384" s="21">
        <v>552</v>
      </c>
      <c r="F384" s="11">
        <v>1</v>
      </c>
      <c r="J384" s="16"/>
    </row>
    <row r="385" spans="1:10" ht="30.75" thickBot="1" x14ac:dyDescent="0.3">
      <c r="A385" s="8">
        <v>384</v>
      </c>
      <c r="B385" s="9" t="s">
        <v>14</v>
      </c>
      <c r="C385" s="9" t="s">
        <v>30</v>
      </c>
      <c r="D385" s="10">
        <v>44726</v>
      </c>
      <c r="E385" s="21">
        <v>895</v>
      </c>
      <c r="F385" s="11">
        <v>1</v>
      </c>
      <c r="J385" s="16"/>
    </row>
    <row r="386" spans="1:10" ht="30.75" thickBot="1" x14ac:dyDescent="0.3">
      <c r="A386" s="4">
        <v>385</v>
      </c>
      <c r="B386" s="5" t="s">
        <v>16</v>
      </c>
      <c r="C386" s="5" t="s">
        <v>31</v>
      </c>
      <c r="D386" s="6">
        <v>45047</v>
      </c>
      <c r="E386" s="20">
        <v>800</v>
      </c>
      <c r="F386" s="7">
        <v>1</v>
      </c>
      <c r="J386" s="16"/>
    </row>
    <row r="387" spans="1:10" ht="15.75" thickBot="1" x14ac:dyDescent="0.3">
      <c r="A387" s="4">
        <v>386</v>
      </c>
      <c r="B387" s="5" t="s">
        <v>18</v>
      </c>
      <c r="C387" s="5" t="s">
        <v>32</v>
      </c>
      <c r="D387" s="6">
        <v>44890</v>
      </c>
      <c r="E387" s="20">
        <v>696</v>
      </c>
      <c r="F387" s="7">
        <v>1</v>
      </c>
      <c r="J387" s="16"/>
    </row>
    <row r="388" spans="1:10" ht="15.75" thickBot="1" x14ac:dyDescent="0.3">
      <c r="A388" s="8">
        <v>387</v>
      </c>
      <c r="B388" s="9" t="s">
        <v>20</v>
      </c>
      <c r="C388" s="9" t="s">
        <v>33</v>
      </c>
      <c r="D388" s="10">
        <v>44800</v>
      </c>
      <c r="E388" s="21">
        <v>857</v>
      </c>
      <c r="F388" s="11">
        <v>1</v>
      </c>
      <c r="J388" s="16"/>
    </row>
    <row r="389" spans="1:10" ht="30.75" thickBot="1" x14ac:dyDescent="0.3">
      <c r="A389" s="8">
        <v>388</v>
      </c>
      <c r="B389" s="9" t="s">
        <v>22</v>
      </c>
      <c r="C389" s="9" t="s">
        <v>34</v>
      </c>
      <c r="D389" s="10">
        <v>44903</v>
      </c>
      <c r="E389" s="21">
        <v>722</v>
      </c>
      <c r="F389" s="11">
        <v>1</v>
      </c>
      <c r="J389" s="16"/>
    </row>
    <row r="390" spans="1:10" ht="30.75" thickBot="1" x14ac:dyDescent="0.3">
      <c r="A390" s="4">
        <v>389</v>
      </c>
      <c r="B390" s="5" t="s">
        <v>24</v>
      </c>
      <c r="C390" s="5" t="s">
        <v>35</v>
      </c>
      <c r="D390" s="6">
        <v>44900</v>
      </c>
      <c r="E390" s="20">
        <v>721</v>
      </c>
      <c r="F390" s="7">
        <v>1</v>
      </c>
      <c r="J390" s="16"/>
    </row>
    <row r="391" spans="1:10" ht="30.75" thickBot="1" x14ac:dyDescent="0.3">
      <c r="A391" s="4">
        <v>390</v>
      </c>
      <c r="B391" s="5" t="s">
        <v>6</v>
      </c>
      <c r="C391" s="5" t="s">
        <v>36</v>
      </c>
      <c r="D391" s="6">
        <v>44753</v>
      </c>
      <c r="E391" s="20">
        <v>806</v>
      </c>
      <c r="F391" s="7">
        <v>1</v>
      </c>
      <c r="J391" s="16"/>
    </row>
    <row r="392" spans="1:10" ht="15.75" thickBot="1" x14ac:dyDescent="0.3">
      <c r="A392" s="8">
        <v>391</v>
      </c>
      <c r="B392" s="9" t="s">
        <v>8</v>
      </c>
      <c r="C392" s="9" t="s">
        <v>37</v>
      </c>
      <c r="D392" s="10">
        <v>44793</v>
      </c>
      <c r="E392" s="21">
        <v>717</v>
      </c>
      <c r="F392" s="11">
        <v>1</v>
      </c>
      <c r="J392" s="16"/>
    </row>
    <row r="393" spans="1:10" ht="30.75" thickBot="1" x14ac:dyDescent="0.3">
      <c r="A393" s="8">
        <v>392</v>
      </c>
      <c r="B393" s="9" t="s">
        <v>10</v>
      </c>
      <c r="C393" s="9" t="s">
        <v>38</v>
      </c>
      <c r="D393" s="10">
        <v>44732</v>
      </c>
      <c r="E393" s="21">
        <v>488</v>
      </c>
      <c r="F393" s="11">
        <v>1</v>
      </c>
      <c r="J393" s="16"/>
    </row>
    <row r="394" spans="1:10" ht="30.75" thickBot="1" x14ac:dyDescent="0.3">
      <c r="A394" s="4">
        <v>393</v>
      </c>
      <c r="B394" s="5" t="s">
        <v>12</v>
      </c>
      <c r="C394" s="5" t="s">
        <v>39</v>
      </c>
      <c r="D394" s="6">
        <v>44939</v>
      </c>
      <c r="E394" s="20">
        <v>613</v>
      </c>
      <c r="F394" s="7">
        <v>1</v>
      </c>
      <c r="J394" s="16"/>
    </row>
    <row r="395" spans="1:10" ht="30.75" thickBot="1" x14ac:dyDescent="0.3">
      <c r="A395" s="4">
        <v>394</v>
      </c>
      <c r="B395" s="5" t="s">
        <v>14</v>
      </c>
      <c r="C395" s="5" t="s">
        <v>40</v>
      </c>
      <c r="D395" s="6">
        <v>44891</v>
      </c>
      <c r="E395" s="20">
        <v>486</v>
      </c>
      <c r="F395" s="7">
        <v>1</v>
      </c>
      <c r="J395" s="16"/>
    </row>
    <row r="396" spans="1:10" ht="30.75" thickBot="1" x14ac:dyDescent="0.3">
      <c r="A396" s="8">
        <v>395</v>
      </c>
      <c r="B396" s="9" t="s">
        <v>16</v>
      </c>
      <c r="C396" s="9" t="s">
        <v>41</v>
      </c>
      <c r="D396" s="10">
        <v>44902</v>
      </c>
      <c r="E396" s="21">
        <v>448</v>
      </c>
      <c r="F396" s="11">
        <v>1</v>
      </c>
      <c r="J396" s="16"/>
    </row>
    <row r="397" spans="1:10" ht="15.75" thickBot="1" x14ac:dyDescent="0.3">
      <c r="A397" s="8">
        <v>396</v>
      </c>
      <c r="B397" s="9" t="s">
        <v>18</v>
      </c>
      <c r="C397" s="9" t="s">
        <v>42</v>
      </c>
      <c r="D397" s="10">
        <v>44772</v>
      </c>
      <c r="E397" s="21">
        <v>957</v>
      </c>
      <c r="F397" s="11">
        <v>1</v>
      </c>
      <c r="J397" s="16"/>
    </row>
    <row r="398" spans="1:10" ht="15.75" thickBot="1" x14ac:dyDescent="0.3">
      <c r="A398" s="4">
        <v>397</v>
      </c>
      <c r="B398" s="5" t="s">
        <v>20</v>
      </c>
      <c r="C398" s="5" t="s">
        <v>43</v>
      </c>
      <c r="D398" s="6">
        <v>44983</v>
      </c>
      <c r="E398" s="20">
        <v>981</v>
      </c>
      <c r="F398" s="7">
        <v>1</v>
      </c>
      <c r="J398" s="16"/>
    </row>
    <row r="399" spans="1:10" ht="30.75" thickBot="1" x14ac:dyDescent="0.3">
      <c r="A399" s="4">
        <v>398</v>
      </c>
      <c r="B399" s="5" t="s">
        <v>22</v>
      </c>
      <c r="C399" s="5" t="s">
        <v>44</v>
      </c>
      <c r="D399" s="6">
        <v>44900</v>
      </c>
      <c r="E399" s="20">
        <v>505</v>
      </c>
      <c r="F399" s="7">
        <v>1</v>
      </c>
      <c r="J399" s="16"/>
    </row>
    <row r="400" spans="1:10" ht="30.75" thickBot="1" x14ac:dyDescent="0.3">
      <c r="A400" s="8">
        <v>399</v>
      </c>
      <c r="B400" s="9" t="s">
        <v>24</v>
      </c>
      <c r="C400" s="9" t="s">
        <v>45</v>
      </c>
      <c r="D400" s="10">
        <v>44977</v>
      </c>
      <c r="E400" s="21">
        <v>843</v>
      </c>
      <c r="F400" s="11">
        <v>1</v>
      </c>
      <c r="J400" s="16"/>
    </row>
    <row r="401" spans="1:10" ht="30.75" thickBot="1" x14ac:dyDescent="0.3">
      <c r="A401" s="8">
        <v>400</v>
      </c>
      <c r="B401" s="9" t="s">
        <v>6</v>
      </c>
      <c r="C401" s="9" t="s">
        <v>46</v>
      </c>
      <c r="D401" s="10">
        <v>44762</v>
      </c>
      <c r="E401" s="21">
        <v>564</v>
      </c>
      <c r="F401" s="11">
        <v>1</v>
      </c>
      <c r="J401" s="16"/>
    </row>
    <row r="402" spans="1:10" ht="15.75" thickBot="1" x14ac:dyDescent="0.3">
      <c r="A402" s="4">
        <v>401</v>
      </c>
      <c r="B402" s="5" t="s">
        <v>8</v>
      </c>
      <c r="C402" s="5" t="s">
        <v>47</v>
      </c>
      <c r="D402" s="6">
        <v>45011</v>
      </c>
      <c r="E402" s="20">
        <v>857</v>
      </c>
      <c r="F402" s="7">
        <v>1</v>
      </c>
      <c r="J402" s="16"/>
    </row>
    <row r="403" spans="1:10" ht="30.75" thickBot="1" x14ac:dyDescent="0.3">
      <c r="A403" s="4">
        <v>402</v>
      </c>
      <c r="B403" s="5" t="s">
        <v>10</v>
      </c>
      <c r="C403" s="5" t="s">
        <v>48</v>
      </c>
      <c r="D403" s="6">
        <v>45015</v>
      </c>
      <c r="E403" s="20">
        <v>523</v>
      </c>
      <c r="F403" s="7">
        <v>1</v>
      </c>
      <c r="J403" s="16"/>
    </row>
    <row r="404" spans="1:10" ht="30.75" thickBot="1" x14ac:dyDescent="0.3">
      <c r="A404" s="8">
        <v>403</v>
      </c>
      <c r="B404" s="9" t="s">
        <v>12</v>
      </c>
      <c r="C404" s="9" t="s">
        <v>49</v>
      </c>
      <c r="D404" s="10">
        <v>44816</v>
      </c>
      <c r="E404" s="21">
        <v>498</v>
      </c>
      <c r="F404" s="11">
        <v>1</v>
      </c>
      <c r="J404" s="16"/>
    </row>
    <row r="405" spans="1:10" ht="30.75" thickBot="1" x14ac:dyDescent="0.3">
      <c r="A405" s="8">
        <v>404</v>
      </c>
      <c r="B405" s="9" t="s">
        <v>14</v>
      </c>
      <c r="C405" s="9" t="s">
        <v>50</v>
      </c>
      <c r="D405" s="10">
        <v>44655</v>
      </c>
      <c r="E405" s="21">
        <v>740</v>
      </c>
      <c r="F405" s="11">
        <v>1</v>
      </c>
      <c r="J405" s="16"/>
    </row>
    <row r="406" spans="1:10" ht="30.75" thickBot="1" x14ac:dyDescent="0.3">
      <c r="A406" s="4">
        <v>405</v>
      </c>
      <c r="B406" s="5" t="s">
        <v>16</v>
      </c>
      <c r="C406" s="5" t="s">
        <v>51</v>
      </c>
      <c r="D406" s="6">
        <v>44933</v>
      </c>
      <c r="E406" s="20">
        <v>600</v>
      </c>
      <c r="F406" s="7">
        <v>1</v>
      </c>
      <c r="J406" s="16"/>
    </row>
    <row r="407" spans="1:10" ht="15.75" thickBot="1" x14ac:dyDescent="0.3">
      <c r="A407" s="4">
        <v>406</v>
      </c>
      <c r="B407" s="5" t="s">
        <v>18</v>
      </c>
      <c r="C407" s="5" t="s">
        <v>52</v>
      </c>
      <c r="D407" s="6">
        <v>44963</v>
      </c>
      <c r="E407" s="20">
        <v>811</v>
      </c>
      <c r="F407" s="7">
        <v>1</v>
      </c>
      <c r="J407" s="16"/>
    </row>
    <row r="408" spans="1:10" ht="15.75" thickBot="1" x14ac:dyDescent="0.3">
      <c r="A408" s="8">
        <v>407</v>
      </c>
      <c r="B408" s="9" t="s">
        <v>20</v>
      </c>
      <c r="C408" s="9" t="s">
        <v>53</v>
      </c>
      <c r="D408" s="10">
        <v>44818</v>
      </c>
      <c r="E408" s="21">
        <v>905</v>
      </c>
      <c r="F408" s="11">
        <v>1</v>
      </c>
      <c r="J408" s="16"/>
    </row>
    <row r="409" spans="1:10" ht="30.75" thickBot="1" x14ac:dyDescent="0.3">
      <c r="A409" s="8">
        <v>408</v>
      </c>
      <c r="B409" s="9" t="s">
        <v>22</v>
      </c>
      <c r="C409" s="9" t="s">
        <v>54</v>
      </c>
      <c r="D409" s="10">
        <v>44893</v>
      </c>
      <c r="E409" s="21">
        <v>441</v>
      </c>
      <c r="F409" s="11">
        <v>1</v>
      </c>
      <c r="J409" s="16"/>
    </row>
    <row r="410" spans="1:10" ht="30.75" thickBot="1" x14ac:dyDescent="0.3">
      <c r="A410" s="4">
        <v>409</v>
      </c>
      <c r="B410" s="5" t="s">
        <v>24</v>
      </c>
      <c r="C410" s="5" t="s">
        <v>55</v>
      </c>
      <c r="D410" s="6">
        <v>44728</v>
      </c>
      <c r="E410" s="20">
        <v>598</v>
      </c>
      <c r="F410" s="7">
        <v>1</v>
      </c>
      <c r="J410" s="16"/>
    </row>
    <row r="411" spans="1:10" ht="30.75" thickBot="1" x14ac:dyDescent="0.3">
      <c r="A411" s="4">
        <v>410</v>
      </c>
      <c r="B411" s="5" t="s">
        <v>6</v>
      </c>
      <c r="C411" s="5" t="s">
        <v>56</v>
      </c>
      <c r="D411" s="6">
        <v>44794</v>
      </c>
      <c r="E411" s="20">
        <v>415</v>
      </c>
      <c r="F411" s="7">
        <v>1</v>
      </c>
      <c r="J411" s="16"/>
    </row>
    <row r="412" spans="1:10" ht="15.75" thickBot="1" x14ac:dyDescent="0.3">
      <c r="A412" s="8">
        <v>411</v>
      </c>
      <c r="B412" s="9" t="s">
        <v>8</v>
      </c>
      <c r="C412" s="9" t="s">
        <v>57</v>
      </c>
      <c r="D412" s="10">
        <v>44845</v>
      </c>
      <c r="E412" s="21">
        <v>843</v>
      </c>
      <c r="F412" s="11">
        <v>1</v>
      </c>
      <c r="J412" s="16"/>
    </row>
    <row r="413" spans="1:10" ht="30.75" thickBot="1" x14ac:dyDescent="0.3">
      <c r="A413" s="8">
        <v>412</v>
      </c>
      <c r="B413" s="9" t="s">
        <v>10</v>
      </c>
      <c r="C413" s="9" t="s">
        <v>58</v>
      </c>
      <c r="D413" s="10">
        <v>45012</v>
      </c>
      <c r="E413" s="21">
        <v>984</v>
      </c>
      <c r="F413" s="11">
        <v>1</v>
      </c>
      <c r="J413" s="16"/>
    </row>
    <row r="414" spans="1:10" ht="30.75" thickBot="1" x14ac:dyDescent="0.3">
      <c r="A414" s="4">
        <v>413</v>
      </c>
      <c r="B414" s="5" t="s">
        <v>10</v>
      </c>
      <c r="C414" s="5" t="s">
        <v>142</v>
      </c>
      <c r="D414" s="6">
        <v>44890</v>
      </c>
      <c r="E414" s="20">
        <v>822</v>
      </c>
      <c r="F414" s="7">
        <v>1</v>
      </c>
      <c r="J414" s="16"/>
    </row>
    <row r="415" spans="1:10" ht="30.75" thickBot="1" x14ac:dyDescent="0.3">
      <c r="A415" s="4">
        <v>414</v>
      </c>
      <c r="B415" s="5" t="s">
        <v>12</v>
      </c>
      <c r="C415" s="5" t="s">
        <v>143</v>
      </c>
      <c r="D415" s="6">
        <v>44996</v>
      </c>
      <c r="E415" s="20">
        <v>420</v>
      </c>
      <c r="F415" s="7">
        <v>1</v>
      </c>
      <c r="J415" s="16"/>
    </row>
    <row r="416" spans="1:10" ht="30.75" thickBot="1" x14ac:dyDescent="0.3">
      <c r="A416" s="8">
        <v>415</v>
      </c>
      <c r="B416" s="9" t="s">
        <v>14</v>
      </c>
      <c r="C416" s="9" t="s">
        <v>144</v>
      </c>
      <c r="D416" s="10">
        <v>44726</v>
      </c>
      <c r="E416" s="21">
        <v>883</v>
      </c>
      <c r="F416" s="11">
        <v>1</v>
      </c>
      <c r="J416" s="16"/>
    </row>
    <row r="417" spans="1:10" ht="30.75" thickBot="1" x14ac:dyDescent="0.3">
      <c r="A417" s="8">
        <v>416</v>
      </c>
      <c r="B417" s="9" t="s">
        <v>16</v>
      </c>
      <c r="C417" s="9" t="s">
        <v>145</v>
      </c>
      <c r="D417" s="10">
        <v>45047</v>
      </c>
      <c r="E417" s="21">
        <v>615</v>
      </c>
      <c r="F417" s="11">
        <v>1</v>
      </c>
      <c r="J417" s="16"/>
    </row>
    <row r="418" spans="1:10" ht="15.75" thickBot="1" x14ac:dyDescent="0.3">
      <c r="A418" s="4">
        <v>417</v>
      </c>
      <c r="B418" s="5" t="s">
        <v>18</v>
      </c>
      <c r="C418" s="5" t="s">
        <v>146</v>
      </c>
      <c r="D418" s="6">
        <v>44890</v>
      </c>
      <c r="E418" s="20">
        <v>449</v>
      </c>
      <c r="F418" s="7">
        <v>1</v>
      </c>
      <c r="J418" s="16"/>
    </row>
    <row r="419" spans="1:10" ht="15.75" thickBot="1" x14ac:dyDescent="0.3">
      <c r="A419" s="4">
        <v>418</v>
      </c>
      <c r="B419" s="5" t="s">
        <v>20</v>
      </c>
      <c r="C419" s="5" t="s">
        <v>147</v>
      </c>
      <c r="D419" s="6">
        <v>44800</v>
      </c>
      <c r="E419" s="20">
        <v>736</v>
      </c>
      <c r="F419" s="7">
        <v>1</v>
      </c>
      <c r="J419" s="16"/>
    </row>
    <row r="420" spans="1:10" ht="30.75" thickBot="1" x14ac:dyDescent="0.3">
      <c r="A420" s="8">
        <v>419</v>
      </c>
      <c r="B420" s="9" t="s">
        <v>22</v>
      </c>
      <c r="C420" s="9" t="s">
        <v>148</v>
      </c>
      <c r="D420" s="10">
        <v>44903</v>
      </c>
      <c r="E420" s="21">
        <v>472</v>
      </c>
      <c r="F420" s="11">
        <v>1</v>
      </c>
      <c r="J420" s="16"/>
    </row>
    <row r="421" spans="1:10" ht="30.75" thickBot="1" x14ac:dyDescent="0.3">
      <c r="A421" s="8">
        <v>420</v>
      </c>
      <c r="B421" s="9" t="s">
        <v>24</v>
      </c>
      <c r="C421" s="9" t="s">
        <v>149</v>
      </c>
      <c r="D421" s="10">
        <v>44900</v>
      </c>
      <c r="E421" s="21">
        <v>870</v>
      </c>
      <c r="F421" s="11">
        <v>1</v>
      </c>
      <c r="J421" s="16"/>
    </row>
    <row r="422" spans="1:10" ht="30.75" thickBot="1" x14ac:dyDescent="0.3">
      <c r="A422" s="4">
        <v>421</v>
      </c>
      <c r="B422" s="5" t="s">
        <v>6</v>
      </c>
      <c r="C422" s="5" t="s">
        <v>150</v>
      </c>
      <c r="D422" s="6">
        <v>44753</v>
      </c>
      <c r="E422" s="20">
        <v>911</v>
      </c>
      <c r="F422" s="7">
        <v>1</v>
      </c>
      <c r="J422" s="16"/>
    </row>
    <row r="423" spans="1:10" ht="15.75" thickBot="1" x14ac:dyDescent="0.3">
      <c r="A423" s="4">
        <v>422</v>
      </c>
      <c r="B423" s="5" t="s">
        <v>8</v>
      </c>
      <c r="C423" s="5" t="s">
        <v>151</v>
      </c>
      <c r="D423" s="6">
        <v>44793</v>
      </c>
      <c r="E423" s="20">
        <v>527</v>
      </c>
      <c r="F423" s="7">
        <v>1</v>
      </c>
      <c r="J423" s="16"/>
    </row>
    <row r="424" spans="1:10" ht="30.75" thickBot="1" x14ac:dyDescent="0.3">
      <c r="A424" s="8">
        <v>423</v>
      </c>
      <c r="B424" s="9" t="s">
        <v>10</v>
      </c>
      <c r="C424" s="9" t="s">
        <v>152</v>
      </c>
      <c r="D424" s="10">
        <v>44732</v>
      </c>
      <c r="E424" s="21">
        <v>966</v>
      </c>
      <c r="F424" s="11">
        <v>1</v>
      </c>
      <c r="J424" s="16"/>
    </row>
    <row r="425" spans="1:10" ht="30.75" thickBot="1" x14ac:dyDescent="0.3">
      <c r="A425" s="8">
        <v>424</v>
      </c>
      <c r="B425" s="9" t="s">
        <v>12</v>
      </c>
      <c r="C425" s="9" t="s">
        <v>153</v>
      </c>
      <c r="D425" s="10">
        <v>44939</v>
      </c>
      <c r="E425" s="21">
        <v>905</v>
      </c>
      <c r="F425" s="11">
        <v>1</v>
      </c>
      <c r="J425" s="16"/>
    </row>
    <row r="426" spans="1:10" ht="30.75" thickBot="1" x14ac:dyDescent="0.3">
      <c r="A426" s="4">
        <v>425</v>
      </c>
      <c r="B426" s="5" t="s">
        <v>14</v>
      </c>
      <c r="C426" s="5" t="s">
        <v>154</v>
      </c>
      <c r="D426" s="6">
        <v>44891</v>
      </c>
      <c r="E426" s="20">
        <v>732</v>
      </c>
      <c r="F426" s="7">
        <v>1</v>
      </c>
      <c r="J426" s="16"/>
    </row>
    <row r="427" spans="1:10" ht="30.75" thickBot="1" x14ac:dyDescent="0.3">
      <c r="A427" s="4">
        <v>426</v>
      </c>
      <c r="B427" s="5" t="s">
        <v>16</v>
      </c>
      <c r="C427" s="5" t="s">
        <v>155</v>
      </c>
      <c r="D427" s="6">
        <v>44902</v>
      </c>
      <c r="E427" s="20">
        <v>815</v>
      </c>
      <c r="F427" s="7">
        <v>1</v>
      </c>
      <c r="J427" s="16"/>
    </row>
    <row r="428" spans="1:10" ht="15.75" thickBot="1" x14ac:dyDescent="0.3">
      <c r="A428" s="8">
        <v>427</v>
      </c>
      <c r="B428" s="9" t="s">
        <v>18</v>
      </c>
      <c r="C428" s="9" t="s">
        <v>156</v>
      </c>
      <c r="D428" s="10">
        <v>44772</v>
      </c>
      <c r="E428" s="21">
        <v>897</v>
      </c>
      <c r="F428" s="11">
        <v>1</v>
      </c>
      <c r="J428" s="16"/>
    </row>
    <row r="429" spans="1:10" ht="15.75" thickBot="1" x14ac:dyDescent="0.3">
      <c r="A429" s="8">
        <v>428</v>
      </c>
      <c r="B429" s="9" t="s">
        <v>20</v>
      </c>
      <c r="C429" s="9" t="s">
        <v>157</v>
      </c>
      <c r="D429" s="10">
        <v>44983</v>
      </c>
      <c r="E429" s="21">
        <v>747</v>
      </c>
      <c r="F429" s="11">
        <v>1</v>
      </c>
      <c r="J429" s="16"/>
    </row>
    <row r="430" spans="1:10" ht="30.75" thickBot="1" x14ac:dyDescent="0.3">
      <c r="A430" s="4">
        <v>429</v>
      </c>
      <c r="B430" s="5" t="s">
        <v>22</v>
      </c>
      <c r="C430" s="5" t="s">
        <v>158</v>
      </c>
      <c r="D430" s="6">
        <v>44900</v>
      </c>
      <c r="E430" s="20">
        <v>961</v>
      </c>
      <c r="F430" s="7">
        <v>1</v>
      </c>
      <c r="J430" s="16"/>
    </row>
    <row r="431" spans="1:10" ht="30.75" thickBot="1" x14ac:dyDescent="0.3">
      <c r="A431" s="4">
        <v>430</v>
      </c>
      <c r="B431" s="5" t="s">
        <v>24</v>
      </c>
      <c r="C431" s="5" t="s">
        <v>159</v>
      </c>
      <c r="D431" s="6">
        <v>44977</v>
      </c>
      <c r="E431" s="20">
        <v>551</v>
      </c>
      <c r="F431" s="7">
        <v>1</v>
      </c>
      <c r="J431" s="16"/>
    </row>
    <row r="432" spans="1:10" ht="30.75" thickBot="1" x14ac:dyDescent="0.3">
      <c r="A432" s="8">
        <v>431</v>
      </c>
      <c r="B432" s="9" t="s">
        <v>6</v>
      </c>
      <c r="C432" s="9" t="s">
        <v>160</v>
      </c>
      <c r="D432" s="10">
        <v>44762</v>
      </c>
      <c r="E432" s="21">
        <v>552</v>
      </c>
      <c r="F432" s="11">
        <v>1</v>
      </c>
      <c r="J432" s="16"/>
    </row>
    <row r="433" spans="1:10" ht="15.75" thickBot="1" x14ac:dyDescent="0.3">
      <c r="A433" s="8">
        <v>432</v>
      </c>
      <c r="B433" s="9" t="s">
        <v>8</v>
      </c>
      <c r="C433" s="9" t="s">
        <v>161</v>
      </c>
      <c r="D433" s="10">
        <v>45011</v>
      </c>
      <c r="E433" s="21">
        <v>983</v>
      </c>
      <c r="F433" s="11">
        <v>1</v>
      </c>
      <c r="J433" s="16"/>
    </row>
    <row r="434" spans="1:10" ht="30.75" thickBot="1" x14ac:dyDescent="0.3">
      <c r="A434" s="4">
        <v>433</v>
      </c>
      <c r="B434" s="5" t="s">
        <v>10</v>
      </c>
      <c r="C434" s="5" t="s">
        <v>162</v>
      </c>
      <c r="D434" s="6">
        <v>45015</v>
      </c>
      <c r="E434" s="20">
        <v>871</v>
      </c>
      <c r="F434" s="7">
        <v>1</v>
      </c>
      <c r="J434" s="16"/>
    </row>
    <row r="435" spans="1:10" ht="30.75" thickBot="1" x14ac:dyDescent="0.3">
      <c r="A435" s="4">
        <v>434</v>
      </c>
      <c r="B435" s="5" t="s">
        <v>12</v>
      </c>
      <c r="C435" s="5" t="s">
        <v>163</v>
      </c>
      <c r="D435" s="6">
        <v>44816</v>
      </c>
      <c r="E435" s="20">
        <v>951</v>
      </c>
      <c r="F435" s="7">
        <v>1</v>
      </c>
      <c r="J435" s="16"/>
    </row>
    <row r="436" spans="1:10" ht="30.75" thickBot="1" x14ac:dyDescent="0.3">
      <c r="A436" s="8">
        <v>435</v>
      </c>
      <c r="B436" s="9" t="s">
        <v>14</v>
      </c>
      <c r="C436" s="9" t="s">
        <v>164</v>
      </c>
      <c r="D436" s="10">
        <v>44655</v>
      </c>
      <c r="E436" s="21">
        <v>864</v>
      </c>
      <c r="F436" s="11">
        <v>1</v>
      </c>
      <c r="J436" s="16"/>
    </row>
    <row r="437" spans="1:10" ht="30.75" thickBot="1" x14ac:dyDescent="0.3">
      <c r="A437" s="8">
        <v>436</v>
      </c>
      <c r="B437" s="9" t="s">
        <v>16</v>
      </c>
      <c r="C437" s="9" t="s">
        <v>165</v>
      </c>
      <c r="D437" s="10">
        <v>44933</v>
      </c>
      <c r="E437" s="21">
        <v>888</v>
      </c>
      <c r="F437" s="11">
        <v>1</v>
      </c>
      <c r="J437" s="16"/>
    </row>
    <row r="438" spans="1:10" ht="15.75" thickBot="1" x14ac:dyDescent="0.3">
      <c r="A438" s="4">
        <v>437</v>
      </c>
      <c r="B438" s="5" t="s">
        <v>18</v>
      </c>
      <c r="C438" s="5" t="s">
        <v>166</v>
      </c>
      <c r="D438" s="6">
        <v>44963</v>
      </c>
      <c r="E438" s="20">
        <v>795</v>
      </c>
      <c r="F438" s="7">
        <v>1</v>
      </c>
      <c r="J438" s="16"/>
    </row>
    <row r="439" spans="1:10" ht="15.75" thickBot="1" x14ac:dyDescent="0.3">
      <c r="A439" s="4">
        <v>438</v>
      </c>
      <c r="B439" s="5" t="s">
        <v>20</v>
      </c>
      <c r="C439" s="5" t="s">
        <v>167</v>
      </c>
      <c r="D439" s="6">
        <v>44818</v>
      </c>
      <c r="E439" s="20">
        <v>913</v>
      </c>
      <c r="F439" s="7">
        <v>1</v>
      </c>
      <c r="J439" s="16"/>
    </row>
    <row r="440" spans="1:10" ht="30.75" thickBot="1" x14ac:dyDescent="0.3">
      <c r="A440" s="8">
        <v>439</v>
      </c>
      <c r="B440" s="9" t="s">
        <v>22</v>
      </c>
      <c r="C440" s="9" t="s">
        <v>168</v>
      </c>
      <c r="D440" s="10">
        <v>44893</v>
      </c>
      <c r="E440" s="21">
        <v>759</v>
      </c>
      <c r="F440" s="11">
        <v>1</v>
      </c>
      <c r="J440" s="16"/>
    </row>
    <row r="441" spans="1:10" ht="30.75" thickBot="1" x14ac:dyDescent="0.3">
      <c r="A441" s="8">
        <v>440</v>
      </c>
      <c r="B441" s="9" t="s">
        <v>24</v>
      </c>
      <c r="C441" s="9" t="s">
        <v>169</v>
      </c>
      <c r="D441" s="10">
        <v>44728</v>
      </c>
      <c r="E441" s="21">
        <v>772</v>
      </c>
      <c r="F441" s="11">
        <v>1</v>
      </c>
      <c r="J441" s="16"/>
    </row>
    <row r="442" spans="1:10" ht="30.75" thickBot="1" x14ac:dyDescent="0.3">
      <c r="A442" s="4">
        <v>441</v>
      </c>
      <c r="B442" s="5" t="s">
        <v>6</v>
      </c>
      <c r="C442" s="5" t="s">
        <v>170</v>
      </c>
      <c r="D442" s="6">
        <v>44794</v>
      </c>
      <c r="E442" s="20">
        <v>719</v>
      </c>
      <c r="F442" s="7">
        <v>1</v>
      </c>
      <c r="J442" s="16"/>
    </row>
    <row r="443" spans="1:10" ht="15.75" thickBot="1" x14ac:dyDescent="0.3">
      <c r="A443" s="4">
        <v>442</v>
      </c>
      <c r="B443" s="5" t="s">
        <v>8</v>
      </c>
      <c r="C443" s="5" t="s">
        <v>171</v>
      </c>
      <c r="D443" s="6">
        <v>44845</v>
      </c>
      <c r="E443" s="20">
        <v>430</v>
      </c>
      <c r="F443" s="7">
        <v>1</v>
      </c>
      <c r="J443" s="16"/>
    </row>
    <row r="444" spans="1:10" ht="30.75" thickBot="1" x14ac:dyDescent="0.3">
      <c r="A444" s="8">
        <v>443</v>
      </c>
      <c r="B444" s="9" t="s">
        <v>10</v>
      </c>
      <c r="C444" s="9" t="s">
        <v>172</v>
      </c>
      <c r="D444" s="10">
        <v>45012</v>
      </c>
      <c r="E444" s="21">
        <v>856</v>
      </c>
      <c r="F444" s="11">
        <v>1</v>
      </c>
      <c r="J444" s="16"/>
    </row>
    <row r="445" spans="1:10" ht="30.75" thickBot="1" x14ac:dyDescent="0.3">
      <c r="A445" s="8">
        <v>444</v>
      </c>
      <c r="B445" s="9" t="s">
        <v>12</v>
      </c>
      <c r="C445" s="9" t="s">
        <v>173</v>
      </c>
      <c r="D445" s="10">
        <v>44654</v>
      </c>
      <c r="E445" s="21">
        <v>958</v>
      </c>
      <c r="F445" s="11">
        <v>1</v>
      </c>
      <c r="J445" s="16"/>
    </row>
    <row r="446" spans="1:10" ht="30.75" thickBot="1" x14ac:dyDescent="0.3">
      <c r="A446" s="4">
        <v>445</v>
      </c>
      <c r="B446" s="5" t="s">
        <v>14</v>
      </c>
      <c r="C446" s="5" t="s">
        <v>174</v>
      </c>
      <c r="D446" s="6">
        <v>44823</v>
      </c>
      <c r="E446" s="20">
        <v>995</v>
      </c>
      <c r="F446" s="7">
        <v>1</v>
      </c>
      <c r="J446" s="16"/>
    </row>
    <row r="447" spans="1:10" ht="30.75" thickBot="1" x14ac:dyDescent="0.3">
      <c r="A447" s="4">
        <v>446</v>
      </c>
      <c r="B447" s="5" t="s">
        <v>16</v>
      </c>
      <c r="C447" s="5" t="s">
        <v>175</v>
      </c>
      <c r="D447" s="6">
        <v>44931</v>
      </c>
      <c r="E447" s="20">
        <v>676</v>
      </c>
      <c r="F447" s="7">
        <v>1</v>
      </c>
      <c r="J447" s="16"/>
    </row>
    <row r="448" spans="1:10" ht="15.75" thickBot="1" x14ac:dyDescent="0.3">
      <c r="A448" s="8">
        <v>447</v>
      </c>
      <c r="B448" s="9" t="s">
        <v>18</v>
      </c>
      <c r="C448" s="9" t="s">
        <v>176</v>
      </c>
      <c r="D448" s="10">
        <v>44732</v>
      </c>
      <c r="E448" s="21">
        <v>804</v>
      </c>
      <c r="F448" s="11">
        <v>1</v>
      </c>
      <c r="J448" s="16"/>
    </row>
    <row r="449" spans="1:10" ht="15.75" thickBot="1" x14ac:dyDescent="0.3">
      <c r="A449" s="8">
        <v>448</v>
      </c>
      <c r="B449" s="9" t="s">
        <v>20</v>
      </c>
      <c r="C449" s="9" t="s">
        <v>177</v>
      </c>
      <c r="D449" s="10">
        <v>44906</v>
      </c>
      <c r="E449" s="21">
        <v>796</v>
      </c>
      <c r="F449" s="11">
        <v>1</v>
      </c>
      <c r="J449" s="16"/>
    </row>
    <row r="450" spans="1:10" ht="30.75" thickBot="1" x14ac:dyDescent="0.3">
      <c r="A450" s="4">
        <v>449</v>
      </c>
      <c r="B450" s="5" t="s">
        <v>22</v>
      </c>
      <c r="C450" s="5" t="s">
        <v>178</v>
      </c>
      <c r="D450" s="6">
        <v>44797</v>
      </c>
      <c r="E450" s="20">
        <v>810</v>
      </c>
      <c r="F450" s="7">
        <v>1</v>
      </c>
      <c r="J450" s="16"/>
    </row>
    <row r="451" spans="1:10" ht="30.75" thickBot="1" x14ac:dyDescent="0.3">
      <c r="A451" s="4">
        <v>450</v>
      </c>
      <c r="B451" s="5" t="s">
        <v>24</v>
      </c>
      <c r="C451" s="5" t="s">
        <v>179</v>
      </c>
      <c r="D451" s="6">
        <v>44673</v>
      </c>
      <c r="E451" s="20">
        <v>891</v>
      </c>
      <c r="F451" s="7">
        <v>1</v>
      </c>
      <c r="J451" s="16"/>
    </row>
    <row r="452" spans="1:10" ht="30.75" thickBot="1" x14ac:dyDescent="0.3">
      <c r="A452" s="8">
        <v>451</v>
      </c>
      <c r="B452" s="9" t="s">
        <v>6</v>
      </c>
      <c r="C452" s="9" t="s">
        <v>180</v>
      </c>
      <c r="D452" s="10">
        <v>44821</v>
      </c>
      <c r="E452" s="21">
        <v>845</v>
      </c>
      <c r="F452" s="11">
        <v>1</v>
      </c>
      <c r="J452" s="16"/>
    </row>
    <row r="453" spans="1:10" ht="15.75" thickBot="1" x14ac:dyDescent="0.3">
      <c r="A453" s="8">
        <v>452</v>
      </c>
      <c r="B453" s="9" t="s">
        <v>8</v>
      </c>
      <c r="C453" s="9" t="s">
        <v>181</v>
      </c>
      <c r="D453" s="10">
        <v>44735</v>
      </c>
      <c r="E453" s="21">
        <v>942</v>
      </c>
      <c r="F453" s="11">
        <v>1</v>
      </c>
      <c r="J453" s="16"/>
    </row>
    <row r="454" spans="1:10" ht="30.75" thickBot="1" x14ac:dyDescent="0.3">
      <c r="A454" s="4">
        <v>453</v>
      </c>
      <c r="B454" s="5" t="s">
        <v>10</v>
      </c>
      <c r="C454" s="5" t="s">
        <v>182</v>
      </c>
      <c r="D454" s="6">
        <v>44667</v>
      </c>
      <c r="E454" s="20">
        <v>506</v>
      </c>
      <c r="F454" s="7">
        <v>1</v>
      </c>
      <c r="J454" s="16"/>
    </row>
    <row r="455" spans="1:10" ht="30.75" thickBot="1" x14ac:dyDescent="0.3">
      <c r="A455" s="4">
        <v>454</v>
      </c>
      <c r="B455" s="5" t="s">
        <v>12</v>
      </c>
      <c r="C455" s="5" t="s">
        <v>183</v>
      </c>
      <c r="D455" s="6">
        <v>45012</v>
      </c>
      <c r="E455" s="20">
        <v>478</v>
      </c>
      <c r="F455" s="7">
        <v>1</v>
      </c>
      <c r="J455" s="16"/>
    </row>
    <row r="456" spans="1:10" ht="30.75" thickBot="1" x14ac:dyDescent="0.3">
      <c r="A456" s="8">
        <v>455</v>
      </c>
      <c r="B456" s="9" t="s">
        <v>14</v>
      </c>
      <c r="C456" s="9" t="s">
        <v>184</v>
      </c>
      <c r="D456" s="10">
        <v>44986</v>
      </c>
      <c r="E456" s="21">
        <v>455</v>
      </c>
      <c r="F456" s="11">
        <v>1</v>
      </c>
      <c r="J456" s="16"/>
    </row>
    <row r="457" spans="1:10" ht="30.75" thickBot="1" x14ac:dyDescent="0.3">
      <c r="A457" s="8">
        <v>456</v>
      </c>
      <c r="B457" s="9" t="s">
        <v>16</v>
      </c>
      <c r="C457" s="9" t="s">
        <v>185</v>
      </c>
      <c r="D457" s="10">
        <v>44713</v>
      </c>
      <c r="E457" s="21">
        <v>764</v>
      </c>
      <c r="F457" s="11">
        <v>1</v>
      </c>
      <c r="J457" s="16"/>
    </row>
    <row r="458" spans="1:10" ht="15.75" thickBot="1" x14ac:dyDescent="0.3">
      <c r="A458" s="4">
        <v>457</v>
      </c>
      <c r="B458" s="5" t="s">
        <v>18</v>
      </c>
      <c r="C458" s="5" t="s">
        <v>186</v>
      </c>
      <c r="D458" s="6">
        <v>44695</v>
      </c>
      <c r="E458" s="20">
        <v>836</v>
      </c>
      <c r="F458" s="7">
        <v>1</v>
      </c>
      <c r="J458" s="16"/>
    </row>
    <row r="459" spans="1:10" ht="15.75" thickBot="1" x14ac:dyDescent="0.3">
      <c r="A459" s="4">
        <v>458</v>
      </c>
      <c r="B459" s="5" t="s">
        <v>20</v>
      </c>
      <c r="C459" s="5" t="s">
        <v>187</v>
      </c>
      <c r="D459" s="6">
        <v>44868</v>
      </c>
      <c r="E459" s="20">
        <v>907</v>
      </c>
      <c r="F459" s="7">
        <v>1</v>
      </c>
      <c r="J459" s="16"/>
    </row>
    <row r="460" spans="1:10" ht="30.75" thickBot="1" x14ac:dyDescent="0.3">
      <c r="A460" s="8">
        <v>459</v>
      </c>
      <c r="B460" s="9" t="s">
        <v>22</v>
      </c>
      <c r="C460" s="9" t="s">
        <v>188</v>
      </c>
      <c r="D460" s="10">
        <v>44930</v>
      </c>
      <c r="E460" s="21">
        <v>442</v>
      </c>
      <c r="F460" s="11">
        <v>1</v>
      </c>
      <c r="J460" s="16"/>
    </row>
    <row r="461" spans="1:10" ht="30.75" thickBot="1" x14ac:dyDescent="0.3">
      <c r="A461" s="8">
        <v>460</v>
      </c>
      <c r="B461" s="9" t="s">
        <v>24</v>
      </c>
      <c r="C461" s="9" t="s">
        <v>189</v>
      </c>
      <c r="D461" s="10">
        <v>44895</v>
      </c>
      <c r="E461" s="21">
        <v>546</v>
      </c>
      <c r="F461" s="11">
        <v>1</v>
      </c>
      <c r="J461" s="16"/>
    </row>
    <row r="462" spans="1:10" ht="30.75" thickBot="1" x14ac:dyDescent="0.3">
      <c r="A462" s="4">
        <v>461</v>
      </c>
      <c r="B462" s="5" t="s">
        <v>6</v>
      </c>
      <c r="C462" s="5" t="s">
        <v>190</v>
      </c>
      <c r="D462" s="6">
        <v>44825</v>
      </c>
      <c r="E462" s="20">
        <v>737</v>
      </c>
      <c r="F462" s="7">
        <v>1</v>
      </c>
      <c r="J462" s="16"/>
    </row>
    <row r="463" spans="1:10" ht="15.75" thickBot="1" x14ac:dyDescent="0.3">
      <c r="A463" s="4">
        <v>462</v>
      </c>
      <c r="B463" s="5" t="s">
        <v>8</v>
      </c>
      <c r="C463" s="5" t="s">
        <v>191</v>
      </c>
      <c r="D463" s="6">
        <v>44625</v>
      </c>
      <c r="E463" s="20">
        <v>485</v>
      </c>
      <c r="F463" s="7">
        <v>1</v>
      </c>
      <c r="J463" s="16"/>
    </row>
    <row r="464" spans="1:10" ht="30.75" thickBot="1" x14ac:dyDescent="0.3">
      <c r="A464" s="8">
        <v>463</v>
      </c>
      <c r="B464" s="9" t="s">
        <v>10</v>
      </c>
      <c r="C464" s="9" t="s">
        <v>192</v>
      </c>
      <c r="D464" s="10">
        <v>44748</v>
      </c>
      <c r="E464" s="21">
        <v>434</v>
      </c>
      <c r="F464" s="11">
        <v>1</v>
      </c>
      <c r="J464" s="16"/>
    </row>
    <row r="465" spans="1:10" ht="30.75" thickBot="1" x14ac:dyDescent="0.3">
      <c r="A465" s="8">
        <v>464</v>
      </c>
      <c r="B465" s="9" t="s">
        <v>12</v>
      </c>
      <c r="C465" s="9" t="s">
        <v>193</v>
      </c>
      <c r="D465" s="10">
        <v>44905</v>
      </c>
      <c r="E465" s="21">
        <v>503</v>
      </c>
      <c r="F465" s="11">
        <v>1</v>
      </c>
      <c r="J465" s="16"/>
    </row>
    <row r="466" spans="1:10" ht="30.75" thickBot="1" x14ac:dyDescent="0.3">
      <c r="A466" s="4">
        <v>465</v>
      </c>
      <c r="B466" s="5" t="s">
        <v>14</v>
      </c>
      <c r="C466" s="5" t="s">
        <v>194</v>
      </c>
      <c r="D466" s="6">
        <v>44974</v>
      </c>
      <c r="E466" s="20">
        <v>528</v>
      </c>
      <c r="F466" s="7">
        <v>1</v>
      </c>
      <c r="J466" s="16"/>
    </row>
    <row r="467" spans="1:10" ht="30.75" thickBot="1" x14ac:dyDescent="0.3">
      <c r="A467" s="4">
        <v>466</v>
      </c>
      <c r="B467" s="5" t="s">
        <v>16</v>
      </c>
      <c r="C467" s="5" t="s">
        <v>195</v>
      </c>
      <c r="D467" s="6">
        <v>44938</v>
      </c>
      <c r="E467" s="20">
        <v>976</v>
      </c>
      <c r="F467" s="7">
        <v>1</v>
      </c>
      <c r="J467" s="16"/>
    </row>
    <row r="468" spans="1:10" ht="15.75" thickBot="1" x14ac:dyDescent="0.3">
      <c r="A468" s="8">
        <v>467</v>
      </c>
      <c r="B468" s="9" t="s">
        <v>18</v>
      </c>
      <c r="C468" s="9" t="s">
        <v>196</v>
      </c>
      <c r="D468" s="10">
        <v>44733</v>
      </c>
      <c r="E468" s="21">
        <v>437</v>
      </c>
      <c r="F468" s="11">
        <v>1</v>
      </c>
      <c r="J468" s="16"/>
    </row>
    <row r="469" spans="1:10" ht="15.75" thickBot="1" x14ac:dyDescent="0.3">
      <c r="A469" s="8">
        <v>468</v>
      </c>
      <c r="B469" s="9" t="s">
        <v>20</v>
      </c>
      <c r="C469" s="9" t="s">
        <v>197</v>
      </c>
      <c r="D469" s="10">
        <v>44967</v>
      </c>
      <c r="E469" s="21">
        <v>670</v>
      </c>
      <c r="F469" s="11">
        <v>1</v>
      </c>
      <c r="J469" s="16"/>
    </row>
    <row r="470" spans="1:10" ht="30.75" thickBot="1" x14ac:dyDescent="0.3">
      <c r="A470" s="4">
        <v>469</v>
      </c>
      <c r="B470" s="5" t="s">
        <v>22</v>
      </c>
      <c r="C470" s="5" t="s">
        <v>198</v>
      </c>
      <c r="D470" s="6">
        <v>44845</v>
      </c>
      <c r="E470" s="20">
        <v>644</v>
      </c>
      <c r="F470" s="7">
        <v>1</v>
      </c>
      <c r="J470" s="16"/>
    </row>
    <row r="471" spans="1:10" ht="30.75" thickBot="1" x14ac:dyDescent="0.3">
      <c r="A471" s="4">
        <v>470</v>
      </c>
      <c r="B471" s="5" t="s">
        <v>24</v>
      </c>
      <c r="C471" s="5" t="s">
        <v>199</v>
      </c>
      <c r="D471" s="6">
        <v>44715</v>
      </c>
      <c r="E471" s="20">
        <v>816</v>
      </c>
      <c r="F471" s="7">
        <v>1</v>
      </c>
      <c r="J471" s="16"/>
    </row>
    <row r="472" spans="1:10" ht="30.75" thickBot="1" x14ac:dyDescent="0.3">
      <c r="A472" s="8">
        <v>471</v>
      </c>
      <c r="B472" s="9" t="s">
        <v>6</v>
      </c>
      <c r="C472" s="9" t="s">
        <v>200</v>
      </c>
      <c r="D472" s="10">
        <v>44929</v>
      </c>
      <c r="E472" s="21">
        <v>736</v>
      </c>
      <c r="F472" s="11">
        <v>1</v>
      </c>
      <c r="J472" s="16"/>
    </row>
    <row r="473" spans="1:10" ht="15.75" thickBot="1" x14ac:dyDescent="0.3">
      <c r="A473" s="8">
        <v>472</v>
      </c>
      <c r="B473" s="9" t="s">
        <v>8</v>
      </c>
      <c r="C473" s="9" t="s">
        <v>201</v>
      </c>
      <c r="D473" s="10">
        <v>44856</v>
      </c>
      <c r="E473" s="21">
        <v>840</v>
      </c>
      <c r="F473" s="11">
        <v>1</v>
      </c>
      <c r="J473" s="16"/>
    </row>
    <row r="474" spans="1:10" ht="30.75" thickBot="1" x14ac:dyDescent="0.3">
      <c r="A474" s="4">
        <v>473</v>
      </c>
      <c r="B474" s="5" t="s">
        <v>10</v>
      </c>
      <c r="C474" s="5" t="s">
        <v>202</v>
      </c>
      <c r="D474" s="6">
        <v>44690</v>
      </c>
      <c r="E474" s="20">
        <v>489</v>
      </c>
      <c r="F474" s="7">
        <v>1</v>
      </c>
      <c r="J474" s="16"/>
    </row>
    <row r="475" spans="1:10" ht="30.75" thickBot="1" x14ac:dyDescent="0.3">
      <c r="A475" s="4">
        <v>474</v>
      </c>
      <c r="B475" s="5" t="s">
        <v>12</v>
      </c>
      <c r="C475" s="5" t="s">
        <v>203</v>
      </c>
      <c r="D475" s="6">
        <v>44930</v>
      </c>
      <c r="E475" s="20">
        <v>757</v>
      </c>
      <c r="F475" s="7">
        <v>1</v>
      </c>
      <c r="J475" s="16"/>
    </row>
    <row r="476" spans="1:10" ht="30.75" thickBot="1" x14ac:dyDescent="0.3">
      <c r="A476" s="8">
        <v>475</v>
      </c>
      <c r="B476" s="9" t="s">
        <v>14</v>
      </c>
      <c r="C476" s="9" t="s">
        <v>204</v>
      </c>
      <c r="D476" s="10">
        <v>44618</v>
      </c>
      <c r="E476" s="21">
        <v>858</v>
      </c>
      <c r="F476" s="11">
        <v>1</v>
      </c>
      <c r="J476" s="16"/>
    </row>
    <row r="477" spans="1:10" ht="30.75" thickBot="1" x14ac:dyDescent="0.3">
      <c r="A477" s="8">
        <v>476</v>
      </c>
      <c r="B477" s="9" t="s">
        <v>16</v>
      </c>
      <c r="C477" s="9" t="s">
        <v>205</v>
      </c>
      <c r="D477" s="10">
        <v>44798</v>
      </c>
      <c r="E477" s="21">
        <v>403</v>
      </c>
      <c r="F477" s="11">
        <v>1</v>
      </c>
      <c r="J477" s="16"/>
    </row>
    <row r="478" spans="1:10" ht="15.75" thickBot="1" x14ac:dyDescent="0.3">
      <c r="A478" s="4">
        <v>477</v>
      </c>
      <c r="B478" s="5" t="s">
        <v>18</v>
      </c>
      <c r="C478" s="5" t="s">
        <v>206</v>
      </c>
      <c r="D478" s="6">
        <v>44664</v>
      </c>
      <c r="E478" s="20">
        <v>916</v>
      </c>
      <c r="F478" s="7">
        <v>1</v>
      </c>
      <c r="J478" s="16"/>
    </row>
    <row r="479" spans="1:10" ht="15.75" thickBot="1" x14ac:dyDescent="0.3">
      <c r="A479" s="4">
        <v>478</v>
      </c>
      <c r="B479" s="5" t="s">
        <v>20</v>
      </c>
      <c r="C479" s="5" t="s">
        <v>207</v>
      </c>
      <c r="D479" s="6">
        <v>44811</v>
      </c>
      <c r="E479" s="20">
        <v>770</v>
      </c>
      <c r="F479" s="7">
        <v>1</v>
      </c>
      <c r="J479" s="16"/>
    </row>
    <row r="480" spans="1:10" ht="30.75" thickBot="1" x14ac:dyDescent="0.3">
      <c r="A480" s="8">
        <v>479</v>
      </c>
      <c r="B480" s="9" t="s">
        <v>22</v>
      </c>
      <c r="C480" s="9" t="s">
        <v>208</v>
      </c>
      <c r="D480" s="10">
        <v>44772</v>
      </c>
      <c r="E480" s="21">
        <v>902</v>
      </c>
      <c r="F480" s="11">
        <v>1</v>
      </c>
      <c r="J480" s="16"/>
    </row>
    <row r="481" spans="1:10" ht="30.75" thickBot="1" x14ac:dyDescent="0.3">
      <c r="A481" s="8">
        <v>480</v>
      </c>
      <c r="B481" s="9" t="s">
        <v>24</v>
      </c>
      <c r="C481" s="9" t="s">
        <v>209</v>
      </c>
      <c r="D481" s="10">
        <v>44939</v>
      </c>
      <c r="E481" s="21">
        <v>794</v>
      </c>
      <c r="F481" s="11">
        <v>1</v>
      </c>
      <c r="J481" s="16"/>
    </row>
    <row r="482" spans="1:10" ht="30.75" thickBot="1" x14ac:dyDescent="0.3">
      <c r="A482" s="4">
        <v>481</v>
      </c>
      <c r="B482" s="5" t="s">
        <v>6</v>
      </c>
      <c r="C482" s="5" t="s">
        <v>210</v>
      </c>
      <c r="D482" s="6">
        <v>44960</v>
      </c>
      <c r="E482" s="20">
        <v>714</v>
      </c>
      <c r="F482" s="7">
        <v>1</v>
      </c>
      <c r="J482" s="16"/>
    </row>
    <row r="483" spans="1:10" ht="15.75" thickBot="1" x14ac:dyDescent="0.3">
      <c r="A483" s="4">
        <v>482</v>
      </c>
      <c r="B483" s="5" t="s">
        <v>8</v>
      </c>
      <c r="C483" s="5" t="s">
        <v>211</v>
      </c>
      <c r="D483" s="6">
        <v>44649</v>
      </c>
      <c r="E483" s="20">
        <v>516</v>
      </c>
      <c r="F483" s="7">
        <v>1</v>
      </c>
      <c r="J483" s="16"/>
    </row>
    <row r="484" spans="1:10" ht="30.75" thickBot="1" x14ac:dyDescent="0.3">
      <c r="A484" s="8">
        <v>483</v>
      </c>
      <c r="B484" s="9" t="s">
        <v>10</v>
      </c>
      <c r="C484" s="9" t="s">
        <v>212</v>
      </c>
      <c r="D484" s="10">
        <v>44751</v>
      </c>
      <c r="E484" s="21">
        <v>758</v>
      </c>
      <c r="F484" s="11">
        <v>1</v>
      </c>
      <c r="J484" s="16"/>
    </row>
    <row r="485" spans="1:10" ht="30.75" thickBot="1" x14ac:dyDescent="0.3">
      <c r="A485" s="8">
        <v>484</v>
      </c>
      <c r="B485" s="9" t="s">
        <v>12</v>
      </c>
      <c r="C485" s="9" t="s">
        <v>213</v>
      </c>
      <c r="D485" s="10">
        <v>44672</v>
      </c>
      <c r="E485" s="21">
        <v>819</v>
      </c>
      <c r="F485" s="11">
        <v>1</v>
      </c>
      <c r="J485" s="16"/>
    </row>
    <row r="486" spans="1:10" ht="30.75" thickBot="1" x14ac:dyDescent="0.3">
      <c r="A486" s="4">
        <v>485</v>
      </c>
      <c r="B486" s="5" t="s">
        <v>14</v>
      </c>
      <c r="C486" s="5" t="s">
        <v>214</v>
      </c>
      <c r="D486" s="6">
        <v>44645</v>
      </c>
      <c r="E486" s="20">
        <v>788</v>
      </c>
      <c r="F486" s="7">
        <v>1</v>
      </c>
      <c r="J486" s="16"/>
    </row>
    <row r="487" spans="1:10" ht="30.75" thickBot="1" x14ac:dyDescent="0.3">
      <c r="A487" s="4">
        <v>486</v>
      </c>
      <c r="B487" s="5" t="s">
        <v>16</v>
      </c>
      <c r="C487" s="5" t="s">
        <v>215</v>
      </c>
      <c r="D487" s="6">
        <v>44726</v>
      </c>
      <c r="E487" s="20">
        <v>577</v>
      </c>
      <c r="F487" s="7">
        <v>1</v>
      </c>
      <c r="J487" s="16"/>
    </row>
    <row r="488" spans="1:10" ht="15.75" thickBot="1" x14ac:dyDescent="0.3">
      <c r="A488" s="8">
        <v>487</v>
      </c>
      <c r="B488" s="9" t="s">
        <v>18</v>
      </c>
      <c r="C488" s="9" t="s">
        <v>216</v>
      </c>
      <c r="D488" s="10">
        <v>44987</v>
      </c>
      <c r="E488" s="21">
        <v>541</v>
      </c>
      <c r="F488" s="11">
        <v>1</v>
      </c>
      <c r="J488" s="16"/>
    </row>
    <row r="489" spans="1:10" ht="15.75" thickBot="1" x14ac:dyDescent="0.3">
      <c r="A489" s="8">
        <v>488</v>
      </c>
      <c r="B489" s="9" t="s">
        <v>20</v>
      </c>
      <c r="C489" s="9" t="s">
        <v>217</v>
      </c>
      <c r="D489" s="10">
        <v>44743</v>
      </c>
      <c r="E489" s="21">
        <v>780</v>
      </c>
      <c r="F489" s="11">
        <v>1</v>
      </c>
      <c r="J489" s="16"/>
    </row>
    <row r="490" spans="1:10" ht="30.75" thickBot="1" x14ac:dyDescent="0.3">
      <c r="A490" s="4">
        <v>489</v>
      </c>
      <c r="B490" s="5" t="s">
        <v>22</v>
      </c>
      <c r="C490" s="5" t="s">
        <v>218</v>
      </c>
      <c r="D490" s="6">
        <v>44916</v>
      </c>
      <c r="E490" s="20">
        <v>682</v>
      </c>
      <c r="F490" s="7">
        <v>1</v>
      </c>
      <c r="J490" s="16"/>
    </row>
    <row r="491" spans="1:10" ht="30.75" thickBot="1" x14ac:dyDescent="0.3">
      <c r="A491" s="4">
        <v>490</v>
      </c>
      <c r="B491" s="5" t="s">
        <v>24</v>
      </c>
      <c r="C491" s="5" t="s">
        <v>219</v>
      </c>
      <c r="D491" s="6">
        <v>44839</v>
      </c>
      <c r="E491" s="20">
        <v>483</v>
      </c>
      <c r="F491" s="7">
        <v>1</v>
      </c>
      <c r="J491" s="16"/>
    </row>
    <row r="492" spans="1:10" ht="30.75" thickBot="1" x14ac:dyDescent="0.3">
      <c r="A492" s="8">
        <v>491</v>
      </c>
      <c r="B492" s="9" t="s">
        <v>6</v>
      </c>
      <c r="C492" s="9" t="s">
        <v>220</v>
      </c>
      <c r="D492" s="10">
        <v>44834</v>
      </c>
      <c r="E492" s="21">
        <v>954</v>
      </c>
      <c r="F492" s="11">
        <v>1</v>
      </c>
      <c r="J492" s="16"/>
    </row>
    <row r="493" spans="1:10" ht="15.75" thickBot="1" x14ac:dyDescent="0.3">
      <c r="A493" s="8">
        <v>492</v>
      </c>
      <c r="B493" s="9" t="s">
        <v>8</v>
      </c>
      <c r="C493" s="9" t="s">
        <v>221</v>
      </c>
      <c r="D493" s="10">
        <v>44777</v>
      </c>
      <c r="E493" s="21">
        <v>727</v>
      </c>
      <c r="F493" s="11">
        <v>1</v>
      </c>
      <c r="J493" s="16"/>
    </row>
    <row r="494" spans="1:10" ht="30.75" thickBot="1" x14ac:dyDescent="0.3">
      <c r="A494" s="4">
        <v>493</v>
      </c>
      <c r="B494" s="5" t="s">
        <v>10</v>
      </c>
      <c r="C494" s="5" t="s">
        <v>222</v>
      </c>
      <c r="D494" s="6">
        <v>44952</v>
      </c>
      <c r="E494" s="20">
        <v>592</v>
      </c>
      <c r="F494" s="7">
        <v>1</v>
      </c>
      <c r="J494" s="16"/>
    </row>
    <row r="495" spans="1:10" ht="30.75" thickBot="1" x14ac:dyDescent="0.3">
      <c r="A495" s="4">
        <v>494</v>
      </c>
      <c r="B495" s="5" t="s">
        <v>12</v>
      </c>
      <c r="C495" s="5" t="s">
        <v>223</v>
      </c>
      <c r="D495" s="6">
        <v>44783</v>
      </c>
      <c r="E495" s="20">
        <v>911</v>
      </c>
      <c r="F495" s="7">
        <v>1</v>
      </c>
      <c r="J495" s="16"/>
    </row>
    <row r="496" spans="1:10" ht="30.75" thickBot="1" x14ac:dyDescent="0.3">
      <c r="A496" s="8">
        <v>495</v>
      </c>
      <c r="B496" s="9" t="s">
        <v>14</v>
      </c>
      <c r="C496" s="9" t="s">
        <v>224</v>
      </c>
      <c r="D496" s="10">
        <v>44797</v>
      </c>
      <c r="E496" s="21">
        <v>533</v>
      </c>
      <c r="F496" s="11">
        <v>1</v>
      </c>
      <c r="J496" s="16"/>
    </row>
    <row r="497" spans="1:10" ht="30.75" thickBot="1" x14ac:dyDescent="0.3">
      <c r="A497" s="8">
        <v>496</v>
      </c>
      <c r="B497" s="9" t="s">
        <v>16</v>
      </c>
      <c r="C497" s="9" t="s">
        <v>225</v>
      </c>
      <c r="D497" s="10">
        <v>44598</v>
      </c>
      <c r="E497" s="21">
        <v>519</v>
      </c>
      <c r="F497" s="11">
        <v>1</v>
      </c>
      <c r="J497" s="16"/>
    </row>
    <row r="498" spans="1:10" ht="15.75" thickBot="1" x14ac:dyDescent="0.3">
      <c r="A498" s="4">
        <v>497</v>
      </c>
      <c r="B498" s="5" t="s">
        <v>18</v>
      </c>
      <c r="C498" s="5" t="s">
        <v>226</v>
      </c>
      <c r="D498" s="6">
        <v>44922</v>
      </c>
      <c r="E498" s="20">
        <v>587</v>
      </c>
      <c r="F498" s="7">
        <v>1</v>
      </c>
      <c r="J498" s="16"/>
    </row>
    <row r="499" spans="1:10" ht="15.75" thickBot="1" x14ac:dyDescent="0.3">
      <c r="A499" s="4">
        <v>498</v>
      </c>
      <c r="B499" s="5" t="s">
        <v>20</v>
      </c>
      <c r="C499" s="5" t="s">
        <v>227</v>
      </c>
      <c r="D499" s="6">
        <v>44890</v>
      </c>
      <c r="E499" s="20">
        <v>904</v>
      </c>
      <c r="F499" s="7">
        <v>1</v>
      </c>
      <c r="J499" s="16"/>
    </row>
    <row r="500" spans="1:10" ht="30.75" thickBot="1" x14ac:dyDescent="0.3">
      <c r="A500" s="8">
        <v>499</v>
      </c>
      <c r="B500" s="9" t="s">
        <v>22</v>
      </c>
      <c r="C500" s="9" t="s">
        <v>228</v>
      </c>
      <c r="D500" s="10">
        <v>44674</v>
      </c>
      <c r="E500" s="21">
        <v>936</v>
      </c>
      <c r="F500" s="11">
        <v>1</v>
      </c>
      <c r="J500" s="16"/>
    </row>
    <row r="501" spans="1:10" ht="30.75" thickBot="1" x14ac:dyDescent="0.3">
      <c r="A501" s="8">
        <v>500</v>
      </c>
      <c r="B501" s="9" t="s">
        <v>24</v>
      </c>
      <c r="C501" s="9" t="s">
        <v>229</v>
      </c>
      <c r="D501" s="10">
        <v>44922</v>
      </c>
      <c r="E501" s="21">
        <v>876</v>
      </c>
      <c r="F501" s="11">
        <v>1</v>
      </c>
      <c r="J501" s="16"/>
    </row>
    <row r="502" spans="1:10" ht="30.75" thickBot="1" x14ac:dyDescent="0.3">
      <c r="A502" s="4">
        <v>501</v>
      </c>
      <c r="B502" s="5" t="s">
        <v>6</v>
      </c>
      <c r="C502" s="5" t="s">
        <v>230</v>
      </c>
      <c r="D502" s="6">
        <v>44771</v>
      </c>
      <c r="E502" s="20">
        <v>617</v>
      </c>
      <c r="F502" s="7">
        <v>1</v>
      </c>
      <c r="J502" s="16"/>
    </row>
    <row r="503" spans="1:10" ht="15.75" thickBot="1" x14ac:dyDescent="0.3">
      <c r="A503" s="4">
        <v>502</v>
      </c>
      <c r="B503" s="5" t="s">
        <v>8</v>
      </c>
      <c r="C503" s="5" t="s">
        <v>231</v>
      </c>
      <c r="D503" s="6">
        <v>44585</v>
      </c>
      <c r="E503" s="20">
        <v>943</v>
      </c>
      <c r="F503" s="7">
        <v>1</v>
      </c>
      <c r="J503" s="16"/>
    </row>
    <row r="504" spans="1:10" ht="30.75" thickBot="1" x14ac:dyDescent="0.3">
      <c r="A504" s="8">
        <v>503</v>
      </c>
      <c r="B504" s="9" t="s">
        <v>10</v>
      </c>
      <c r="C504" s="9" t="s">
        <v>232</v>
      </c>
      <c r="D504" s="10">
        <v>45017</v>
      </c>
      <c r="E504" s="21">
        <v>434</v>
      </c>
      <c r="F504" s="11">
        <v>1</v>
      </c>
      <c r="J504" s="16"/>
    </row>
    <row r="505" spans="1:10" ht="30.75" thickBot="1" x14ac:dyDescent="0.3">
      <c r="A505" s="8">
        <v>504</v>
      </c>
      <c r="B505" s="9" t="s">
        <v>12</v>
      </c>
      <c r="C505" s="9" t="s">
        <v>233</v>
      </c>
      <c r="D505" s="10">
        <v>44752</v>
      </c>
      <c r="E505" s="21">
        <v>598</v>
      </c>
      <c r="F505" s="11">
        <v>1</v>
      </c>
      <c r="J505" s="16"/>
    </row>
    <row r="506" spans="1:10" ht="30.75" thickBot="1" x14ac:dyDescent="0.3">
      <c r="A506" s="4">
        <v>505</v>
      </c>
      <c r="B506" s="5" t="s">
        <v>14</v>
      </c>
      <c r="C506" s="5" t="s">
        <v>234</v>
      </c>
      <c r="D506" s="6">
        <v>44792</v>
      </c>
      <c r="E506" s="20">
        <v>967</v>
      </c>
      <c r="F506" s="7">
        <v>1</v>
      </c>
      <c r="J506" s="16"/>
    </row>
    <row r="507" spans="1:10" ht="30.75" thickBot="1" x14ac:dyDescent="0.3">
      <c r="A507" s="4">
        <v>506</v>
      </c>
      <c r="B507" s="5" t="s">
        <v>16</v>
      </c>
      <c r="C507" s="5" t="s">
        <v>235</v>
      </c>
      <c r="D507" s="6">
        <v>44660</v>
      </c>
      <c r="E507" s="20">
        <v>769</v>
      </c>
      <c r="F507" s="7">
        <v>1</v>
      </c>
      <c r="J507" s="16"/>
    </row>
    <row r="508" spans="1:10" ht="15.75" thickBot="1" x14ac:dyDescent="0.3">
      <c r="A508" s="8">
        <v>507</v>
      </c>
      <c r="B508" s="9" t="s">
        <v>18</v>
      </c>
      <c r="C508" s="9" t="s">
        <v>236</v>
      </c>
      <c r="D508" s="10">
        <v>45047</v>
      </c>
      <c r="E508" s="21">
        <v>577</v>
      </c>
      <c r="F508" s="11">
        <v>1</v>
      </c>
      <c r="J508" s="16"/>
    </row>
    <row r="509" spans="1:10" ht="15.75" thickBot="1" x14ac:dyDescent="0.3">
      <c r="A509" s="8">
        <v>508</v>
      </c>
      <c r="B509" s="9" t="s">
        <v>20</v>
      </c>
      <c r="C509" s="9" t="s">
        <v>237</v>
      </c>
      <c r="D509" s="10">
        <v>44822</v>
      </c>
      <c r="E509" s="21">
        <v>637</v>
      </c>
      <c r="F509" s="11">
        <v>1</v>
      </c>
      <c r="J509" s="16"/>
    </row>
    <row r="510" spans="1:10" ht="30.75" thickBot="1" x14ac:dyDescent="0.3">
      <c r="A510" s="4">
        <v>509</v>
      </c>
      <c r="B510" s="5" t="s">
        <v>22</v>
      </c>
      <c r="C510" s="5" t="s">
        <v>238</v>
      </c>
      <c r="D510" s="6">
        <v>44637</v>
      </c>
      <c r="E510" s="20">
        <v>896</v>
      </c>
      <c r="F510" s="7">
        <v>1</v>
      </c>
      <c r="J510" s="16"/>
    </row>
    <row r="511" spans="1:10" ht="30.75" thickBot="1" x14ac:dyDescent="0.3">
      <c r="A511" s="4">
        <v>510</v>
      </c>
      <c r="B511" s="5" t="s">
        <v>24</v>
      </c>
      <c r="C511" s="5" t="s">
        <v>239</v>
      </c>
      <c r="D511" s="6">
        <v>44562</v>
      </c>
      <c r="E511" s="20">
        <v>684</v>
      </c>
      <c r="F511" s="7">
        <v>1</v>
      </c>
      <c r="J511" s="16"/>
    </row>
    <row r="512" spans="1:10" ht="30.75" thickBot="1" x14ac:dyDescent="0.3">
      <c r="A512" s="8">
        <v>511</v>
      </c>
      <c r="B512" s="9" t="s">
        <v>6</v>
      </c>
      <c r="C512" s="9" t="s">
        <v>240</v>
      </c>
      <c r="D512" s="10">
        <v>44894</v>
      </c>
      <c r="E512" s="21">
        <v>716</v>
      </c>
      <c r="F512" s="11">
        <v>1</v>
      </c>
      <c r="J512" s="16"/>
    </row>
    <row r="513" spans="1:10" ht="15.75" thickBot="1" x14ac:dyDescent="0.3">
      <c r="A513" s="8">
        <v>512</v>
      </c>
      <c r="B513" s="9" t="s">
        <v>8</v>
      </c>
      <c r="C513" s="9" t="s">
        <v>241</v>
      </c>
      <c r="D513" s="10">
        <v>44961</v>
      </c>
      <c r="E513" s="21">
        <v>931</v>
      </c>
      <c r="F513" s="11">
        <v>1</v>
      </c>
      <c r="J513" s="16"/>
    </row>
    <row r="514" spans="1:10" ht="30.75" thickBot="1" x14ac:dyDescent="0.3">
      <c r="A514" s="4">
        <v>513</v>
      </c>
      <c r="B514" s="5" t="s">
        <v>10</v>
      </c>
      <c r="C514" s="5" t="s">
        <v>242</v>
      </c>
      <c r="D514" s="6">
        <v>44890</v>
      </c>
      <c r="E514" s="20">
        <v>613</v>
      </c>
      <c r="F514" s="7">
        <v>1</v>
      </c>
      <c r="J514" s="16"/>
    </row>
    <row r="515" spans="1:10" ht="30.75" thickBot="1" x14ac:dyDescent="0.3">
      <c r="A515" s="4">
        <v>514</v>
      </c>
      <c r="B515" s="5" t="s">
        <v>12</v>
      </c>
      <c r="C515" s="5" t="s">
        <v>243</v>
      </c>
      <c r="D515" s="6">
        <v>44996</v>
      </c>
      <c r="E515" s="20">
        <v>941</v>
      </c>
      <c r="F515" s="7">
        <v>1</v>
      </c>
      <c r="J515" s="16"/>
    </row>
    <row r="516" spans="1:10" ht="30.75" thickBot="1" x14ac:dyDescent="0.3">
      <c r="A516" s="8">
        <v>515</v>
      </c>
      <c r="B516" s="9" t="s">
        <v>14</v>
      </c>
      <c r="C516" s="9" t="s">
        <v>244</v>
      </c>
      <c r="D516" s="10">
        <v>44726</v>
      </c>
      <c r="E516" s="21">
        <v>918</v>
      </c>
      <c r="F516" s="11">
        <v>1</v>
      </c>
      <c r="J516" s="16"/>
    </row>
    <row r="517" spans="1:10" ht="30.75" thickBot="1" x14ac:dyDescent="0.3">
      <c r="A517" s="8">
        <v>516</v>
      </c>
      <c r="B517" s="9" t="s">
        <v>16</v>
      </c>
      <c r="C517" s="9" t="s">
        <v>245</v>
      </c>
      <c r="D517" s="10">
        <v>45047</v>
      </c>
      <c r="E517" s="21">
        <v>512</v>
      </c>
      <c r="F517" s="11">
        <v>1</v>
      </c>
      <c r="J517" s="16"/>
    </row>
    <row r="518" spans="1:10" ht="15.75" thickBot="1" x14ac:dyDescent="0.3">
      <c r="A518" s="4">
        <v>517</v>
      </c>
      <c r="B518" s="5" t="s">
        <v>18</v>
      </c>
      <c r="C518" s="5" t="s">
        <v>246</v>
      </c>
      <c r="D518" s="6">
        <v>44890</v>
      </c>
      <c r="E518" s="20">
        <v>426</v>
      </c>
      <c r="F518" s="7">
        <v>1</v>
      </c>
      <c r="J518" s="16"/>
    </row>
    <row r="519" spans="1:10" ht="15.75" thickBot="1" x14ac:dyDescent="0.3">
      <c r="A519" s="4">
        <v>518</v>
      </c>
      <c r="B519" s="5" t="s">
        <v>20</v>
      </c>
      <c r="C519" s="5" t="s">
        <v>247</v>
      </c>
      <c r="D519" s="6">
        <v>44800</v>
      </c>
      <c r="E519" s="20">
        <v>961</v>
      </c>
      <c r="F519" s="7">
        <v>1</v>
      </c>
      <c r="J519" s="16"/>
    </row>
    <row r="520" spans="1:10" ht="30.75" thickBot="1" x14ac:dyDescent="0.3">
      <c r="A520" s="8">
        <v>519</v>
      </c>
      <c r="B520" s="9" t="s">
        <v>22</v>
      </c>
      <c r="C520" s="9" t="s">
        <v>248</v>
      </c>
      <c r="D520" s="10">
        <v>44903</v>
      </c>
      <c r="E520" s="21">
        <v>448</v>
      </c>
      <c r="F520" s="11">
        <v>1</v>
      </c>
      <c r="J520" s="16"/>
    </row>
    <row r="521" spans="1:10" ht="30.75" thickBot="1" x14ac:dyDescent="0.3">
      <c r="A521" s="8">
        <v>520</v>
      </c>
      <c r="B521" s="9" t="s">
        <v>24</v>
      </c>
      <c r="C521" s="9" t="s">
        <v>249</v>
      </c>
      <c r="D521" s="10">
        <v>44900</v>
      </c>
      <c r="E521" s="21">
        <v>661</v>
      </c>
      <c r="F521" s="11">
        <v>1</v>
      </c>
      <c r="J521" s="16"/>
    </row>
    <row r="522" spans="1:10" ht="30.75" thickBot="1" x14ac:dyDescent="0.3">
      <c r="A522" s="4">
        <v>521</v>
      </c>
      <c r="B522" s="5" t="s">
        <v>6</v>
      </c>
      <c r="C522" s="5" t="s">
        <v>250</v>
      </c>
      <c r="D522" s="6">
        <v>44753</v>
      </c>
      <c r="E522" s="20">
        <v>647</v>
      </c>
      <c r="F522" s="7">
        <v>1</v>
      </c>
      <c r="J522" s="16"/>
    </row>
    <row r="523" spans="1:10" ht="15.75" thickBot="1" x14ac:dyDescent="0.3">
      <c r="A523" s="4">
        <v>522</v>
      </c>
      <c r="B523" s="5" t="s">
        <v>8</v>
      </c>
      <c r="C523" s="5" t="s">
        <v>251</v>
      </c>
      <c r="D523" s="6">
        <v>44793</v>
      </c>
      <c r="E523" s="20">
        <v>983</v>
      </c>
      <c r="F523" s="7">
        <v>1</v>
      </c>
      <c r="J523" s="16"/>
    </row>
    <row r="524" spans="1:10" ht="30.75" thickBot="1" x14ac:dyDescent="0.3">
      <c r="A524" s="8">
        <v>523</v>
      </c>
      <c r="B524" s="9" t="s">
        <v>10</v>
      </c>
      <c r="C524" s="9" t="s">
        <v>252</v>
      </c>
      <c r="D524" s="10">
        <v>44732</v>
      </c>
      <c r="E524" s="21">
        <v>987</v>
      </c>
      <c r="F524" s="11">
        <v>1</v>
      </c>
      <c r="J524" s="16"/>
    </row>
    <row r="525" spans="1:10" ht="30.75" thickBot="1" x14ac:dyDescent="0.3">
      <c r="A525" s="8">
        <v>524</v>
      </c>
      <c r="B525" s="9" t="s">
        <v>12</v>
      </c>
      <c r="C525" s="9" t="s">
        <v>253</v>
      </c>
      <c r="D525" s="10">
        <v>44939</v>
      </c>
      <c r="E525" s="21">
        <v>875</v>
      </c>
      <c r="F525" s="11">
        <v>1</v>
      </c>
      <c r="J525" s="16"/>
    </row>
    <row r="526" spans="1:10" ht="30.75" thickBot="1" x14ac:dyDescent="0.3">
      <c r="A526" s="4">
        <v>525</v>
      </c>
      <c r="B526" s="5" t="s">
        <v>14</v>
      </c>
      <c r="C526" s="5" t="s">
        <v>254</v>
      </c>
      <c r="D526" s="6">
        <v>44891</v>
      </c>
      <c r="E526" s="20">
        <v>542</v>
      </c>
      <c r="F526" s="7">
        <v>1</v>
      </c>
      <c r="J526" s="16"/>
    </row>
    <row r="527" spans="1:10" ht="30.75" thickBot="1" x14ac:dyDescent="0.3">
      <c r="A527" s="4">
        <v>526</v>
      </c>
      <c r="B527" s="5" t="s">
        <v>16</v>
      </c>
      <c r="C527" s="5" t="s">
        <v>255</v>
      </c>
      <c r="D527" s="6">
        <v>44902</v>
      </c>
      <c r="E527" s="20">
        <v>617</v>
      </c>
      <c r="F527" s="7">
        <v>1</v>
      </c>
      <c r="J527" s="16"/>
    </row>
    <row r="528" spans="1:10" ht="15.75" thickBot="1" x14ac:dyDescent="0.3">
      <c r="A528" s="8">
        <v>527</v>
      </c>
      <c r="B528" s="9" t="s">
        <v>18</v>
      </c>
      <c r="C528" s="9" t="s">
        <v>256</v>
      </c>
      <c r="D528" s="10">
        <v>44772</v>
      </c>
      <c r="E528" s="21">
        <v>815</v>
      </c>
      <c r="F528" s="11">
        <v>1</v>
      </c>
      <c r="J528" s="16"/>
    </row>
    <row r="529" spans="1:10" ht="15.75" thickBot="1" x14ac:dyDescent="0.3">
      <c r="A529" s="8">
        <v>528</v>
      </c>
      <c r="B529" s="9" t="s">
        <v>20</v>
      </c>
      <c r="C529" s="9" t="s">
        <v>257</v>
      </c>
      <c r="D529" s="10">
        <v>44983</v>
      </c>
      <c r="E529" s="21">
        <v>667</v>
      </c>
      <c r="F529" s="11">
        <v>1</v>
      </c>
      <c r="J529" s="16"/>
    </row>
    <row r="530" spans="1:10" ht="30.75" thickBot="1" x14ac:dyDescent="0.3">
      <c r="A530" s="4">
        <v>529</v>
      </c>
      <c r="B530" s="5" t="s">
        <v>22</v>
      </c>
      <c r="C530" s="5" t="s">
        <v>258</v>
      </c>
      <c r="D530" s="6">
        <v>44900</v>
      </c>
      <c r="E530" s="20">
        <v>1000</v>
      </c>
      <c r="F530" s="7">
        <v>1</v>
      </c>
      <c r="J530" s="16"/>
    </row>
    <row r="531" spans="1:10" ht="30.75" thickBot="1" x14ac:dyDescent="0.3">
      <c r="A531" s="4">
        <v>530</v>
      </c>
      <c r="B531" s="5" t="s">
        <v>24</v>
      </c>
      <c r="C531" s="5" t="s">
        <v>259</v>
      </c>
      <c r="D531" s="6">
        <v>44977</v>
      </c>
      <c r="E531" s="20">
        <v>755</v>
      </c>
      <c r="F531" s="7">
        <v>1</v>
      </c>
      <c r="J531" s="16"/>
    </row>
    <row r="532" spans="1:10" ht="30.75" thickBot="1" x14ac:dyDescent="0.3">
      <c r="A532" s="8">
        <v>531</v>
      </c>
      <c r="B532" s="9" t="s">
        <v>6</v>
      </c>
      <c r="C532" s="9" t="s">
        <v>260</v>
      </c>
      <c r="D532" s="10">
        <v>44762</v>
      </c>
      <c r="E532" s="21">
        <v>743</v>
      </c>
      <c r="F532" s="11">
        <v>1</v>
      </c>
      <c r="J532" s="16"/>
    </row>
    <row r="533" spans="1:10" ht="15.75" thickBot="1" x14ac:dyDescent="0.3">
      <c r="A533" s="8">
        <v>532</v>
      </c>
      <c r="B533" s="9" t="s">
        <v>8</v>
      </c>
      <c r="C533" s="9" t="s">
        <v>261</v>
      </c>
      <c r="D533" s="10">
        <v>45011</v>
      </c>
      <c r="E533" s="21">
        <v>448</v>
      </c>
      <c r="F533" s="11">
        <v>1</v>
      </c>
      <c r="J533" s="16"/>
    </row>
    <row r="534" spans="1:10" ht="30.75" thickBot="1" x14ac:dyDescent="0.3">
      <c r="A534" s="4">
        <v>533</v>
      </c>
      <c r="B534" s="5" t="s">
        <v>10</v>
      </c>
      <c r="C534" s="5" t="s">
        <v>262</v>
      </c>
      <c r="D534" s="6">
        <v>45015</v>
      </c>
      <c r="E534" s="20">
        <v>815</v>
      </c>
      <c r="F534" s="7">
        <v>1</v>
      </c>
      <c r="J534" s="16"/>
    </row>
    <row r="535" spans="1:10" ht="30.75" thickBot="1" x14ac:dyDescent="0.3">
      <c r="A535" s="4">
        <v>534</v>
      </c>
      <c r="B535" s="5" t="s">
        <v>12</v>
      </c>
      <c r="C535" s="5" t="s">
        <v>263</v>
      </c>
      <c r="D535" s="6">
        <v>44816</v>
      </c>
      <c r="E535" s="20">
        <v>911</v>
      </c>
      <c r="F535" s="7">
        <v>1</v>
      </c>
      <c r="J535" s="16"/>
    </row>
    <row r="536" spans="1:10" ht="30.75" thickBot="1" x14ac:dyDescent="0.3">
      <c r="A536" s="8">
        <v>535</v>
      </c>
      <c r="B536" s="9" t="s">
        <v>14</v>
      </c>
      <c r="C536" s="9" t="s">
        <v>264</v>
      </c>
      <c r="D536" s="10">
        <v>44655</v>
      </c>
      <c r="E536" s="21">
        <v>522</v>
      </c>
      <c r="F536" s="11">
        <v>1</v>
      </c>
      <c r="J536" s="16"/>
    </row>
    <row r="537" spans="1:10" ht="30.75" thickBot="1" x14ac:dyDescent="0.3">
      <c r="A537" s="8">
        <v>536</v>
      </c>
      <c r="B537" s="9" t="s">
        <v>16</v>
      </c>
      <c r="C537" s="9" t="s">
        <v>265</v>
      </c>
      <c r="D537" s="10">
        <v>44933</v>
      </c>
      <c r="E537" s="21">
        <v>825</v>
      </c>
      <c r="F537" s="11">
        <v>1</v>
      </c>
      <c r="J537" s="16"/>
    </row>
    <row r="538" spans="1:10" ht="15.75" thickBot="1" x14ac:dyDescent="0.3">
      <c r="A538" s="4">
        <v>537</v>
      </c>
      <c r="B538" s="5" t="s">
        <v>18</v>
      </c>
      <c r="C538" s="5" t="s">
        <v>266</v>
      </c>
      <c r="D538" s="6">
        <v>44963</v>
      </c>
      <c r="E538" s="20">
        <v>720</v>
      </c>
      <c r="F538" s="7">
        <v>1</v>
      </c>
      <c r="J538" s="16"/>
    </row>
    <row r="539" spans="1:10" ht="15.75" thickBot="1" x14ac:dyDescent="0.3">
      <c r="A539" s="4">
        <v>538</v>
      </c>
      <c r="B539" s="5" t="s">
        <v>20</v>
      </c>
      <c r="C539" s="5" t="s">
        <v>267</v>
      </c>
      <c r="D539" s="6">
        <v>44818</v>
      </c>
      <c r="E539" s="20">
        <v>411</v>
      </c>
      <c r="F539" s="7">
        <v>0</v>
      </c>
      <c r="J539" s="16"/>
    </row>
    <row r="540" spans="1:10" ht="30.75" thickBot="1" x14ac:dyDescent="0.3">
      <c r="A540" s="8">
        <v>539</v>
      </c>
      <c r="B540" s="9" t="s">
        <v>22</v>
      </c>
      <c r="C540" s="9" t="s">
        <v>268</v>
      </c>
      <c r="D540" s="10">
        <v>44893</v>
      </c>
      <c r="E540" s="21">
        <v>825</v>
      </c>
      <c r="F540" s="11">
        <v>0</v>
      </c>
      <c r="J540" s="16"/>
    </row>
    <row r="541" spans="1:10" ht="30.75" thickBot="1" x14ac:dyDescent="0.3">
      <c r="A541" s="8">
        <v>540</v>
      </c>
      <c r="B541" s="9" t="s">
        <v>24</v>
      </c>
      <c r="C541" s="9" t="s">
        <v>269</v>
      </c>
      <c r="D541" s="10">
        <v>44728</v>
      </c>
      <c r="E541" s="21">
        <v>843</v>
      </c>
      <c r="F541" s="11">
        <v>0</v>
      </c>
      <c r="J541" s="16"/>
    </row>
    <row r="542" spans="1:10" ht="30.75" thickBot="1" x14ac:dyDescent="0.3">
      <c r="A542" s="4">
        <v>541</v>
      </c>
      <c r="B542" s="5" t="s">
        <v>6</v>
      </c>
      <c r="C542" s="5" t="s">
        <v>270</v>
      </c>
      <c r="D542" s="6">
        <v>44794</v>
      </c>
      <c r="E542" s="20">
        <v>587</v>
      </c>
      <c r="F542" s="7">
        <v>0</v>
      </c>
      <c r="J542" s="16"/>
    </row>
    <row r="543" spans="1:10" ht="15.75" thickBot="1" x14ac:dyDescent="0.3">
      <c r="A543" s="4">
        <v>542</v>
      </c>
      <c r="B543" s="5" t="s">
        <v>8</v>
      </c>
      <c r="C543" s="5" t="s">
        <v>271</v>
      </c>
      <c r="D543" s="6">
        <v>44845</v>
      </c>
      <c r="E543" s="20">
        <v>795</v>
      </c>
      <c r="F543" s="7">
        <v>0</v>
      </c>
      <c r="J543" s="16"/>
    </row>
    <row r="544" spans="1:10" ht="30.75" thickBot="1" x14ac:dyDescent="0.3">
      <c r="A544" s="8">
        <v>543</v>
      </c>
      <c r="B544" s="9" t="s">
        <v>10</v>
      </c>
      <c r="C544" s="9" t="s">
        <v>272</v>
      </c>
      <c r="D544" s="10">
        <v>45012</v>
      </c>
      <c r="E544" s="21">
        <v>846</v>
      </c>
      <c r="F544" s="11">
        <v>0</v>
      </c>
      <c r="J544" s="16"/>
    </row>
    <row r="545" spans="1:10" ht="30.75" thickBot="1" x14ac:dyDescent="0.3">
      <c r="A545" s="8">
        <v>544</v>
      </c>
      <c r="B545" s="9" t="s">
        <v>12</v>
      </c>
      <c r="C545" s="9" t="s">
        <v>273</v>
      </c>
      <c r="D545" s="10">
        <v>44654</v>
      </c>
      <c r="E545" s="21">
        <v>982</v>
      </c>
      <c r="F545" s="11">
        <v>0</v>
      </c>
      <c r="J545" s="16"/>
    </row>
    <row r="546" spans="1:10" ht="30.75" thickBot="1" x14ac:dyDescent="0.3">
      <c r="A546" s="4">
        <v>545</v>
      </c>
      <c r="B546" s="5" t="s">
        <v>14</v>
      </c>
      <c r="C546" s="5" t="s">
        <v>274</v>
      </c>
      <c r="D546" s="6">
        <v>44823</v>
      </c>
      <c r="E546" s="20">
        <v>564</v>
      </c>
      <c r="F546" s="7">
        <v>0</v>
      </c>
      <c r="J546" s="16"/>
    </row>
    <row r="547" spans="1:10" ht="30.75" thickBot="1" x14ac:dyDescent="0.3">
      <c r="A547" s="4">
        <v>546</v>
      </c>
      <c r="B547" s="5" t="s">
        <v>16</v>
      </c>
      <c r="C547" s="5" t="s">
        <v>275</v>
      </c>
      <c r="D547" s="6">
        <v>44931</v>
      </c>
      <c r="E547" s="20">
        <v>872</v>
      </c>
      <c r="F547" s="7">
        <v>0</v>
      </c>
      <c r="J547" s="16"/>
    </row>
    <row r="548" spans="1:10" ht="15.75" thickBot="1" x14ac:dyDescent="0.3">
      <c r="A548" s="8">
        <v>547</v>
      </c>
      <c r="B548" s="9" t="s">
        <v>18</v>
      </c>
      <c r="C548" s="9" t="s">
        <v>276</v>
      </c>
      <c r="D548" s="10">
        <v>44732</v>
      </c>
      <c r="E548" s="21">
        <v>524</v>
      </c>
      <c r="F548" s="11">
        <v>0</v>
      </c>
      <c r="J548" s="16"/>
    </row>
    <row r="549" spans="1:10" ht="15.75" thickBot="1" x14ac:dyDescent="0.3">
      <c r="A549" s="8">
        <v>548</v>
      </c>
      <c r="B549" s="9" t="s">
        <v>20</v>
      </c>
      <c r="C549" s="9" t="s">
        <v>277</v>
      </c>
      <c r="D549" s="10">
        <v>44906</v>
      </c>
      <c r="E549" s="21">
        <v>568</v>
      </c>
      <c r="F549" s="11">
        <v>0</v>
      </c>
      <c r="J549" s="16"/>
    </row>
    <row r="550" spans="1:10" ht="30.75" thickBot="1" x14ac:dyDescent="0.3">
      <c r="A550" s="4">
        <v>549</v>
      </c>
      <c r="B550" s="5" t="s">
        <v>22</v>
      </c>
      <c r="C550" s="5" t="s">
        <v>278</v>
      </c>
      <c r="D550" s="6">
        <v>44797</v>
      </c>
      <c r="E550" s="20">
        <v>748</v>
      </c>
      <c r="F550" s="7">
        <v>0</v>
      </c>
      <c r="J550" s="16"/>
    </row>
    <row r="551" spans="1:10" ht="30.75" thickBot="1" x14ac:dyDescent="0.3">
      <c r="A551" s="4">
        <v>550</v>
      </c>
      <c r="B551" s="5" t="s">
        <v>24</v>
      </c>
      <c r="C551" s="5" t="s">
        <v>279</v>
      </c>
      <c r="D551" s="6">
        <v>44673</v>
      </c>
      <c r="E551" s="20">
        <v>484</v>
      </c>
      <c r="F551" s="7">
        <v>0</v>
      </c>
      <c r="J551" s="16"/>
    </row>
    <row r="552" spans="1:10" ht="30.75" thickBot="1" x14ac:dyDescent="0.3">
      <c r="A552" s="8">
        <v>551</v>
      </c>
      <c r="B552" s="9" t="s">
        <v>6</v>
      </c>
      <c r="C552" s="9" t="s">
        <v>280</v>
      </c>
      <c r="D552" s="10">
        <v>44821</v>
      </c>
      <c r="E552" s="21">
        <v>641</v>
      </c>
      <c r="F552" s="11">
        <v>0</v>
      </c>
      <c r="J552" s="16"/>
    </row>
    <row r="553" spans="1:10" ht="15.75" thickBot="1" x14ac:dyDescent="0.3">
      <c r="A553" s="8">
        <v>552</v>
      </c>
      <c r="B553" s="9" t="s">
        <v>8</v>
      </c>
      <c r="C553" s="9" t="s">
        <v>281</v>
      </c>
      <c r="D553" s="10">
        <v>44735</v>
      </c>
      <c r="E553" s="21">
        <v>455</v>
      </c>
      <c r="F553" s="11">
        <v>0</v>
      </c>
      <c r="J553" s="16"/>
    </row>
    <row r="554" spans="1:10" ht="30.75" thickBot="1" x14ac:dyDescent="0.3">
      <c r="A554" s="4">
        <v>553</v>
      </c>
      <c r="B554" s="5" t="s">
        <v>10</v>
      </c>
      <c r="C554" s="5" t="s">
        <v>282</v>
      </c>
      <c r="D554" s="6">
        <v>44667</v>
      </c>
      <c r="E554" s="20">
        <v>983</v>
      </c>
      <c r="F554" s="7">
        <v>0</v>
      </c>
      <c r="J554" s="16"/>
    </row>
    <row r="555" spans="1:10" ht="30.75" thickBot="1" x14ac:dyDescent="0.3">
      <c r="A555" s="4">
        <v>554</v>
      </c>
      <c r="B555" s="5" t="s">
        <v>12</v>
      </c>
      <c r="C555" s="5" t="s">
        <v>283</v>
      </c>
      <c r="D555" s="6">
        <v>45012</v>
      </c>
      <c r="E555" s="20">
        <v>835</v>
      </c>
      <c r="F555" s="7">
        <v>0</v>
      </c>
      <c r="J555" s="16"/>
    </row>
    <row r="556" spans="1:10" ht="30.75" thickBot="1" x14ac:dyDescent="0.3">
      <c r="A556" s="8">
        <v>555</v>
      </c>
      <c r="B556" s="9" t="s">
        <v>14</v>
      </c>
      <c r="C556" s="9" t="s">
        <v>284</v>
      </c>
      <c r="D556" s="10">
        <v>44986</v>
      </c>
      <c r="E556" s="21">
        <v>939</v>
      </c>
      <c r="F556" s="11">
        <v>0</v>
      </c>
      <c r="J556" s="16"/>
    </row>
    <row r="557" spans="1:10" ht="30.75" thickBot="1" x14ac:dyDescent="0.3">
      <c r="A557" s="8">
        <v>556</v>
      </c>
      <c r="B557" s="9" t="s">
        <v>16</v>
      </c>
      <c r="C557" s="9" t="s">
        <v>285</v>
      </c>
      <c r="D557" s="10">
        <v>44713</v>
      </c>
      <c r="E557" s="21">
        <v>558</v>
      </c>
      <c r="F557" s="11">
        <v>0</v>
      </c>
      <c r="J557" s="16"/>
    </row>
    <row r="558" spans="1:10" ht="15.75" thickBot="1" x14ac:dyDescent="0.3">
      <c r="A558" s="4">
        <v>557</v>
      </c>
      <c r="B558" s="5" t="s">
        <v>18</v>
      </c>
      <c r="C558" s="5" t="s">
        <v>286</v>
      </c>
      <c r="D558" s="6">
        <v>44695</v>
      </c>
      <c r="E558" s="20">
        <v>953</v>
      </c>
      <c r="F558" s="7">
        <v>0</v>
      </c>
      <c r="J558" s="16"/>
    </row>
    <row r="559" spans="1:10" ht="15.75" thickBot="1" x14ac:dyDescent="0.3">
      <c r="A559" s="4">
        <v>558</v>
      </c>
      <c r="B559" s="5" t="s">
        <v>20</v>
      </c>
      <c r="C559" s="5" t="s">
        <v>287</v>
      </c>
      <c r="D559" s="6">
        <v>44868</v>
      </c>
      <c r="E559" s="20">
        <v>936</v>
      </c>
      <c r="F559" s="7">
        <v>0</v>
      </c>
      <c r="J559" s="16"/>
    </row>
    <row r="560" spans="1:10" ht="30.75" thickBot="1" x14ac:dyDescent="0.3">
      <c r="A560" s="8">
        <v>559</v>
      </c>
      <c r="B560" s="9" t="s">
        <v>22</v>
      </c>
      <c r="C560" s="9" t="s">
        <v>288</v>
      </c>
      <c r="D560" s="10">
        <v>44930</v>
      </c>
      <c r="E560" s="21">
        <v>468</v>
      </c>
      <c r="F560" s="11">
        <v>0</v>
      </c>
      <c r="J560" s="16"/>
    </row>
    <row r="561" spans="1:10" ht="30.75" thickBot="1" x14ac:dyDescent="0.3">
      <c r="A561" s="8">
        <v>560</v>
      </c>
      <c r="B561" s="9" t="s">
        <v>24</v>
      </c>
      <c r="C561" s="9" t="s">
        <v>289</v>
      </c>
      <c r="D561" s="10">
        <v>44895</v>
      </c>
      <c r="E561" s="21">
        <v>941</v>
      </c>
      <c r="F561" s="11">
        <v>0</v>
      </c>
      <c r="J561" s="16"/>
    </row>
    <row r="562" spans="1:10" ht="30.75" thickBot="1" x14ac:dyDescent="0.3">
      <c r="A562" s="4">
        <v>561</v>
      </c>
      <c r="B562" s="5" t="s">
        <v>6</v>
      </c>
      <c r="C562" s="5" t="s">
        <v>290</v>
      </c>
      <c r="D562" s="6">
        <v>44825</v>
      </c>
      <c r="E562" s="20">
        <v>964</v>
      </c>
      <c r="F562" s="7">
        <v>0</v>
      </c>
      <c r="J562" s="16"/>
    </row>
    <row r="563" spans="1:10" ht="15.75" thickBot="1" x14ac:dyDescent="0.3">
      <c r="A563" s="4">
        <v>562</v>
      </c>
      <c r="B563" s="5" t="s">
        <v>8</v>
      </c>
      <c r="C563" s="5" t="s">
        <v>291</v>
      </c>
      <c r="D563" s="6">
        <v>44625</v>
      </c>
      <c r="E563" s="20">
        <v>525</v>
      </c>
      <c r="F563" s="7">
        <v>0</v>
      </c>
      <c r="J563" s="16"/>
    </row>
    <row r="564" spans="1:10" ht="30.75" thickBot="1" x14ac:dyDescent="0.3">
      <c r="A564" s="8">
        <v>563</v>
      </c>
      <c r="B564" s="9" t="s">
        <v>10</v>
      </c>
      <c r="C564" s="9" t="s">
        <v>292</v>
      </c>
      <c r="D564" s="10">
        <v>44748</v>
      </c>
      <c r="E564" s="21">
        <v>854</v>
      </c>
      <c r="F564" s="11">
        <v>0</v>
      </c>
      <c r="J564" s="16"/>
    </row>
    <row r="565" spans="1:10" ht="30.75" thickBot="1" x14ac:dyDescent="0.3">
      <c r="A565" s="8">
        <v>564</v>
      </c>
      <c r="B565" s="9" t="s">
        <v>12</v>
      </c>
      <c r="C565" s="9" t="s">
        <v>293</v>
      </c>
      <c r="D565" s="10">
        <v>44905</v>
      </c>
      <c r="E565" s="21">
        <v>522</v>
      </c>
      <c r="F565" s="11">
        <v>0</v>
      </c>
      <c r="J565" s="16"/>
    </row>
    <row r="566" spans="1:10" ht="30.75" thickBot="1" x14ac:dyDescent="0.3">
      <c r="A566" s="4">
        <v>565</v>
      </c>
      <c r="B566" s="5" t="s">
        <v>14</v>
      </c>
      <c r="C566" s="5" t="s">
        <v>294</v>
      </c>
      <c r="D566" s="6">
        <v>44974</v>
      </c>
      <c r="E566" s="20">
        <v>455</v>
      </c>
      <c r="F566" s="7">
        <v>0</v>
      </c>
      <c r="J566" s="16"/>
    </row>
    <row r="567" spans="1:10" ht="30.75" thickBot="1" x14ac:dyDescent="0.3">
      <c r="A567" s="4">
        <v>566</v>
      </c>
      <c r="B567" s="5" t="s">
        <v>16</v>
      </c>
      <c r="C567" s="5" t="s">
        <v>295</v>
      </c>
      <c r="D567" s="6">
        <v>44938</v>
      </c>
      <c r="E567" s="20">
        <v>466</v>
      </c>
      <c r="F567" s="7">
        <v>0</v>
      </c>
      <c r="J567" s="16"/>
    </row>
    <row r="568" spans="1:10" ht="15.75" thickBot="1" x14ac:dyDescent="0.3">
      <c r="A568" s="8">
        <v>567</v>
      </c>
      <c r="B568" s="9" t="s">
        <v>18</v>
      </c>
      <c r="C568" s="9" t="s">
        <v>296</v>
      </c>
      <c r="D568" s="10">
        <v>44733</v>
      </c>
      <c r="E568" s="21">
        <v>725</v>
      </c>
      <c r="F568" s="11">
        <v>0</v>
      </c>
      <c r="J568" s="16"/>
    </row>
    <row r="569" spans="1:10" ht="15.75" thickBot="1" x14ac:dyDescent="0.3">
      <c r="A569" s="8">
        <v>568</v>
      </c>
      <c r="B569" s="9" t="s">
        <v>20</v>
      </c>
      <c r="C569" s="9" t="s">
        <v>297</v>
      </c>
      <c r="D569" s="10">
        <v>44967</v>
      </c>
      <c r="E569" s="21">
        <v>819</v>
      </c>
      <c r="F569" s="11">
        <v>0</v>
      </c>
      <c r="J569" s="16"/>
    </row>
    <row r="570" spans="1:10" ht="30.75" thickBot="1" x14ac:dyDescent="0.3">
      <c r="A570" s="4">
        <v>569</v>
      </c>
      <c r="B570" s="5" t="s">
        <v>22</v>
      </c>
      <c r="C570" s="5" t="s">
        <v>298</v>
      </c>
      <c r="D570" s="6">
        <v>44845</v>
      </c>
      <c r="E570" s="20">
        <v>876</v>
      </c>
      <c r="F570" s="7">
        <v>0</v>
      </c>
      <c r="J570" s="16"/>
    </row>
    <row r="571" spans="1:10" ht="30.75" thickBot="1" x14ac:dyDescent="0.3">
      <c r="A571" s="4">
        <v>570</v>
      </c>
      <c r="B571" s="5" t="s">
        <v>24</v>
      </c>
      <c r="C571" s="5" t="s">
        <v>299</v>
      </c>
      <c r="D571" s="6">
        <v>44715</v>
      </c>
      <c r="E571" s="20">
        <v>673</v>
      </c>
      <c r="F571" s="7">
        <v>0</v>
      </c>
      <c r="J571" s="16"/>
    </row>
    <row r="572" spans="1:10" ht="30.75" thickBot="1" x14ac:dyDescent="0.3">
      <c r="A572" s="8">
        <v>571</v>
      </c>
      <c r="B572" s="9" t="s">
        <v>6</v>
      </c>
      <c r="C572" s="9" t="s">
        <v>300</v>
      </c>
      <c r="D572" s="10">
        <v>44929</v>
      </c>
      <c r="E572" s="21">
        <v>697</v>
      </c>
      <c r="F572" s="11">
        <v>0</v>
      </c>
      <c r="J572" s="16"/>
    </row>
    <row r="573" spans="1:10" ht="15.75" thickBot="1" x14ac:dyDescent="0.3">
      <c r="A573" s="8">
        <v>572</v>
      </c>
      <c r="B573" s="9" t="s">
        <v>8</v>
      </c>
      <c r="C573" s="9" t="s">
        <v>301</v>
      </c>
      <c r="D573" s="10">
        <v>44856</v>
      </c>
      <c r="E573" s="21">
        <v>722</v>
      </c>
      <c r="F573" s="11">
        <v>0</v>
      </c>
      <c r="J573" s="16"/>
    </row>
    <row r="574" spans="1:10" ht="30.75" thickBot="1" x14ac:dyDescent="0.3">
      <c r="A574" s="4">
        <v>573</v>
      </c>
      <c r="B574" s="5" t="s">
        <v>10</v>
      </c>
      <c r="C574" s="5" t="s">
        <v>302</v>
      </c>
      <c r="D574" s="6">
        <v>44690</v>
      </c>
      <c r="E574" s="20">
        <v>767</v>
      </c>
      <c r="F574" s="7">
        <v>0</v>
      </c>
      <c r="J574" s="16"/>
    </row>
    <row r="575" spans="1:10" ht="30.75" thickBot="1" x14ac:dyDescent="0.3">
      <c r="A575" s="4">
        <v>574</v>
      </c>
      <c r="B575" s="5" t="s">
        <v>12</v>
      </c>
      <c r="C575" s="5" t="s">
        <v>303</v>
      </c>
      <c r="D575" s="6">
        <v>44930</v>
      </c>
      <c r="E575" s="20">
        <v>906</v>
      </c>
      <c r="F575" s="7">
        <v>0</v>
      </c>
      <c r="J575" s="16"/>
    </row>
    <row r="576" spans="1:10" ht="30.75" thickBot="1" x14ac:dyDescent="0.3">
      <c r="A576" s="8">
        <v>575</v>
      </c>
      <c r="B576" s="9" t="s">
        <v>14</v>
      </c>
      <c r="C576" s="9" t="s">
        <v>304</v>
      </c>
      <c r="D576" s="10">
        <v>44618</v>
      </c>
      <c r="E576" s="21">
        <v>654</v>
      </c>
      <c r="F576" s="11">
        <v>0</v>
      </c>
      <c r="J576" s="16"/>
    </row>
    <row r="577" spans="1:10" ht="30.75" thickBot="1" x14ac:dyDescent="0.3">
      <c r="A577" s="8">
        <v>576</v>
      </c>
      <c r="B577" s="9" t="s">
        <v>16</v>
      </c>
      <c r="C577" s="9" t="s">
        <v>305</v>
      </c>
      <c r="D577" s="10">
        <v>44798</v>
      </c>
      <c r="E577" s="21">
        <v>798</v>
      </c>
      <c r="F577" s="11">
        <v>0</v>
      </c>
      <c r="J577" s="16"/>
    </row>
    <row r="578" spans="1:10" ht="15.75" thickBot="1" x14ac:dyDescent="0.3">
      <c r="A578" s="4">
        <v>577</v>
      </c>
      <c r="B578" s="5" t="s">
        <v>18</v>
      </c>
      <c r="C578" s="5" t="s">
        <v>306</v>
      </c>
      <c r="D578" s="6">
        <v>44664</v>
      </c>
      <c r="E578" s="20">
        <v>608</v>
      </c>
      <c r="F578" s="7">
        <v>0</v>
      </c>
      <c r="J578" s="16"/>
    </row>
    <row r="579" spans="1:10" ht="15.75" thickBot="1" x14ac:dyDescent="0.3">
      <c r="A579" s="4">
        <v>578</v>
      </c>
      <c r="B579" s="5" t="s">
        <v>20</v>
      </c>
      <c r="C579" s="5" t="s">
        <v>307</v>
      </c>
      <c r="D579" s="6">
        <v>44811</v>
      </c>
      <c r="E579" s="20">
        <v>533</v>
      </c>
      <c r="F579" s="7">
        <v>0</v>
      </c>
      <c r="J579" s="16"/>
    </row>
    <row r="580" spans="1:10" ht="30.75" thickBot="1" x14ac:dyDescent="0.3">
      <c r="A580" s="8">
        <v>579</v>
      </c>
      <c r="B580" s="9" t="s">
        <v>22</v>
      </c>
      <c r="C580" s="9" t="s">
        <v>308</v>
      </c>
      <c r="D580" s="10">
        <v>44772</v>
      </c>
      <c r="E580" s="21">
        <v>818</v>
      </c>
      <c r="F580" s="11">
        <v>0</v>
      </c>
      <c r="J580" s="16"/>
    </row>
    <row r="581" spans="1:10" ht="30.75" thickBot="1" x14ac:dyDescent="0.3">
      <c r="A581" s="8">
        <v>580</v>
      </c>
      <c r="B581" s="9" t="s">
        <v>24</v>
      </c>
      <c r="C581" s="9" t="s">
        <v>309</v>
      </c>
      <c r="D581" s="10">
        <v>44939</v>
      </c>
      <c r="E581" s="21">
        <v>558</v>
      </c>
      <c r="F581" s="11">
        <v>0</v>
      </c>
      <c r="J581" s="16"/>
    </row>
    <row r="582" spans="1:10" ht="30.75" thickBot="1" x14ac:dyDescent="0.3">
      <c r="A582" s="4">
        <v>581</v>
      </c>
      <c r="B582" s="5" t="s">
        <v>6</v>
      </c>
      <c r="C582" s="5" t="s">
        <v>310</v>
      </c>
      <c r="D582" s="6">
        <v>44960</v>
      </c>
      <c r="E582" s="20">
        <v>458</v>
      </c>
      <c r="F582" s="7">
        <v>0</v>
      </c>
      <c r="J582" s="16"/>
    </row>
    <row r="583" spans="1:10" ht="15.75" thickBot="1" x14ac:dyDescent="0.3">
      <c r="A583" s="4">
        <v>582</v>
      </c>
      <c r="B583" s="5" t="s">
        <v>8</v>
      </c>
      <c r="C583" s="5" t="s">
        <v>311</v>
      </c>
      <c r="D583" s="6">
        <v>44649</v>
      </c>
      <c r="E583" s="20">
        <v>955</v>
      </c>
      <c r="F583" s="7">
        <v>0</v>
      </c>
      <c r="J583" s="16"/>
    </row>
    <row r="584" spans="1:10" ht="30.75" thickBot="1" x14ac:dyDescent="0.3">
      <c r="A584" s="8">
        <v>583</v>
      </c>
      <c r="B584" s="9" t="s">
        <v>10</v>
      </c>
      <c r="C584" s="9" t="s">
        <v>312</v>
      </c>
      <c r="D584" s="10">
        <v>44751</v>
      </c>
      <c r="E584" s="21">
        <v>906</v>
      </c>
      <c r="F584" s="11">
        <v>0</v>
      </c>
      <c r="J584" s="16"/>
    </row>
    <row r="585" spans="1:10" ht="30.75" thickBot="1" x14ac:dyDescent="0.3">
      <c r="A585" s="8">
        <v>584</v>
      </c>
      <c r="B585" s="9" t="s">
        <v>12</v>
      </c>
      <c r="C585" s="9" t="s">
        <v>313</v>
      </c>
      <c r="D585" s="10">
        <v>44672</v>
      </c>
      <c r="E585" s="21">
        <v>439</v>
      </c>
      <c r="F585" s="11">
        <v>0</v>
      </c>
      <c r="J585" s="16"/>
    </row>
    <row r="586" spans="1:10" ht="30.75" thickBot="1" x14ac:dyDescent="0.3">
      <c r="A586" s="4">
        <v>585</v>
      </c>
      <c r="B586" s="5" t="s">
        <v>14</v>
      </c>
      <c r="C586" s="5" t="s">
        <v>314</v>
      </c>
      <c r="D586" s="6">
        <v>44645</v>
      </c>
      <c r="E586" s="20">
        <v>588</v>
      </c>
      <c r="F586" s="7">
        <v>0</v>
      </c>
      <c r="J586" s="16"/>
    </row>
    <row r="587" spans="1:10" ht="30.75" thickBot="1" x14ac:dyDescent="0.3">
      <c r="A587" s="4">
        <v>586</v>
      </c>
      <c r="B587" s="5" t="s">
        <v>16</v>
      </c>
      <c r="C587" s="5" t="s">
        <v>315</v>
      </c>
      <c r="D587" s="6">
        <v>44726</v>
      </c>
      <c r="E587" s="20">
        <v>802</v>
      </c>
      <c r="F587" s="7">
        <v>0</v>
      </c>
      <c r="J587" s="16"/>
    </row>
    <row r="588" spans="1:10" ht="15.75" thickBot="1" x14ac:dyDescent="0.3">
      <c r="A588" s="8">
        <v>587</v>
      </c>
      <c r="B588" s="9" t="s">
        <v>18</v>
      </c>
      <c r="C588" s="9" t="s">
        <v>316</v>
      </c>
      <c r="D588" s="10">
        <v>44987</v>
      </c>
      <c r="E588" s="21">
        <v>700</v>
      </c>
      <c r="F588" s="11">
        <v>0</v>
      </c>
      <c r="J588" s="16"/>
    </row>
    <row r="589" spans="1:10" ht="15.75" thickBot="1" x14ac:dyDescent="0.3">
      <c r="A589" s="8">
        <v>588</v>
      </c>
      <c r="B589" s="9" t="s">
        <v>20</v>
      </c>
      <c r="C589" s="9" t="s">
        <v>317</v>
      </c>
      <c r="D589" s="10">
        <v>44743</v>
      </c>
      <c r="E589" s="21">
        <v>784</v>
      </c>
      <c r="F589" s="11">
        <v>0</v>
      </c>
      <c r="J589" s="16"/>
    </row>
    <row r="590" spans="1:10" ht="30.75" thickBot="1" x14ac:dyDescent="0.3">
      <c r="A590" s="4">
        <v>589</v>
      </c>
      <c r="B590" s="5" t="s">
        <v>22</v>
      </c>
      <c r="C590" s="5" t="s">
        <v>318</v>
      </c>
      <c r="D590" s="6">
        <v>44916</v>
      </c>
      <c r="E590" s="20">
        <v>736</v>
      </c>
      <c r="F590" s="7">
        <v>0</v>
      </c>
      <c r="J590" s="16"/>
    </row>
    <row r="591" spans="1:10" ht="30.75" thickBot="1" x14ac:dyDescent="0.3">
      <c r="A591" s="4">
        <v>590</v>
      </c>
      <c r="B591" s="5" t="s">
        <v>24</v>
      </c>
      <c r="C591" s="5" t="s">
        <v>319</v>
      </c>
      <c r="D591" s="6">
        <v>44839</v>
      </c>
      <c r="E591" s="20">
        <v>449</v>
      </c>
      <c r="F591" s="7">
        <v>0</v>
      </c>
      <c r="J591" s="16"/>
    </row>
    <row r="592" spans="1:10" ht="30.75" thickBot="1" x14ac:dyDescent="0.3">
      <c r="A592" s="8">
        <v>591</v>
      </c>
      <c r="B592" s="9" t="s">
        <v>6</v>
      </c>
      <c r="C592" s="9" t="s">
        <v>320</v>
      </c>
      <c r="D592" s="10">
        <v>44834</v>
      </c>
      <c r="E592" s="21">
        <v>441</v>
      </c>
      <c r="F592" s="11">
        <v>0</v>
      </c>
      <c r="J592" s="16"/>
    </row>
    <row r="593" spans="1:10" ht="15.75" thickBot="1" x14ac:dyDescent="0.3">
      <c r="A593" s="8">
        <v>592</v>
      </c>
      <c r="B593" s="9" t="s">
        <v>8</v>
      </c>
      <c r="C593" s="9" t="s">
        <v>321</v>
      </c>
      <c r="D593" s="10">
        <v>44777</v>
      </c>
      <c r="E593" s="21">
        <v>597</v>
      </c>
      <c r="F593" s="11">
        <v>0</v>
      </c>
      <c r="J593" s="16"/>
    </row>
    <row r="594" spans="1:10" ht="30.75" thickBot="1" x14ac:dyDescent="0.3">
      <c r="A594" s="4">
        <v>593</v>
      </c>
      <c r="B594" s="5" t="s">
        <v>10</v>
      </c>
      <c r="C594" s="5" t="s">
        <v>322</v>
      </c>
      <c r="D594" s="6">
        <v>44952</v>
      </c>
      <c r="E594" s="20">
        <v>640</v>
      </c>
      <c r="F594" s="7">
        <v>0</v>
      </c>
      <c r="J594" s="16"/>
    </row>
    <row r="595" spans="1:10" ht="30.75" thickBot="1" x14ac:dyDescent="0.3">
      <c r="A595" s="4">
        <v>594</v>
      </c>
      <c r="B595" s="5" t="s">
        <v>12</v>
      </c>
      <c r="C595" s="5" t="s">
        <v>323</v>
      </c>
      <c r="D595" s="6">
        <v>44783</v>
      </c>
      <c r="E595" s="20">
        <v>549</v>
      </c>
      <c r="F595" s="7">
        <v>0</v>
      </c>
      <c r="J595" s="16"/>
    </row>
    <row r="596" spans="1:10" ht="30.75" thickBot="1" x14ac:dyDescent="0.3">
      <c r="A596" s="8">
        <v>595</v>
      </c>
      <c r="B596" s="9" t="s">
        <v>14</v>
      </c>
      <c r="C596" s="9" t="s">
        <v>324</v>
      </c>
      <c r="D596" s="10">
        <v>44797</v>
      </c>
      <c r="E596" s="21">
        <v>912</v>
      </c>
      <c r="F596" s="11">
        <v>0</v>
      </c>
      <c r="J596" s="16"/>
    </row>
    <row r="597" spans="1:10" ht="30.75" thickBot="1" x14ac:dyDescent="0.3">
      <c r="A597" s="8">
        <v>596</v>
      </c>
      <c r="B597" s="9" t="s">
        <v>16</v>
      </c>
      <c r="C597" s="9" t="s">
        <v>325</v>
      </c>
      <c r="D597" s="10">
        <v>44598</v>
      </c>
      <c r="E597" s="21">
        <v>405</v>
      </c>
      <c r="F597" s="11">
        <v>0</v>
      </c>
      <c r="J597" s="16"/>
    </row>
    <row r="598" spans="1:10" ht="15.75" thickBot="1" x14ac:dyDescent="0.3">
      <c r="A598" s="4">
        <v>597</v>
      </c>
      <c r="B598" s="5" t="s">
        <v>18</v>
      </c>
      <c r="C598" s="5" t="s">
        <v>326</v>
      </c>
      <c r="D598" s="6">
        <v>44922</v>
      </c>
      <c r="E598" s="20">
        <v>563</v>
      </c>
      <c r="F598" s="7">
        <v>0</v>
      </c>
      <c r="J598" s="16"/>
    </row>
    <row r="599" spans="1:10" ht="15.75" thickBot="1" x14ac:dyDescent="0.3">
      <c r="A599" s="4">
        <v>598</v>
      </c>
      <c r="B599" s="5" t="s">
        <v>20</v>
      </c>
      <c r="C599" s="5" t="s">
        <v>327</v>
      </c>
      <c r="D599" s="6">
        <v>44890</v>
      </c>
      <c r="E599" s="20">
        <v>880</v>
      </c>
      <c r="F599" s="7">
        <v>0</v>
      </c>
      <c r="J599" s="16"/>
    </row>
    <row r="600" spans="1:10" ht="30.75" thickBot="1" x14ac:dyDescent="0.3">
      <c r="A600" s="8">
        <v>599</v>
      </c>
      <c r="B600" s="9" t="s">
        <v>22</v>
      </c>
      <c r="C600" s="9" t="s">
        <v>328</v>
      </c>
      <c r="D600" s="10">
        <v>44674</v>
      </c>
      <c r="E600" s="21">
        <v>482</v>
      </c>
      <c r="F600" s="11">
        <v>0</v>
      </c>
      <c r="J600" s="16"/>
    </row>
    <row r="601" spans="1:10" ht="30.75" thickBot="1" x14ac:dyDescent="0.3">
      <c r="A601" s="8">
        <v>600</v>
      </c>
      <c r="B601" s="9" t="s">
        <v>24</v>
      </c>
      <c r="C601" s="9" t="s">
        <v>329</v>
      </c>
      <c r="D601" s="10">
        <v>44922</v>
      </c>
      <c r="E601" s="21">
        <v>665</v>
      </c>
      <c r="F601" s="11">
        <v>0</v>
      </c>
      <c r="J601" s="16"/>
    </row>
    <row r="602" spans="1:10" ht="30.75" thickBot="1" x14ac:dyDescent="0.3">
      <c r="A602" s="4">
        <v>601</v>
      </c>
      <c r="B602" s="5" t="s">
        <v>6</v>
      </c>
      <c r="C602" s="5" t="s">
        <v>330</v>
      </c>
      <c r="D602" s="6">
        <v>44771</v>
      </c>
      <c r="E602" s="20">
        <v>929</v>
      </c>
      <c r="F602" s="7">
        <v>0</v>
      </c>
      <c r="J602" s="16"/>
    </row>
    <row r="603" spans="1:10" ht="15.75" thickBot="1" x14ac:dyDescent="0.3">
      <c r="A603" s="4">
        <v>602</v>
      </c>
      <c r="B603" s="5" t="s">
        <v>8</v>
      </c>
      <c r="C603" s="5" t="s">
        <v>331</v>
      </c>
      <c r="D603" s="6">
        <v>44585</v>
      </c>
      <c r="E603" s="20">
        <v>483</v>
      </c>
      <c r="F603" s="7">
        <v>0</v>
      </c>
      <c r="J603" s="16"/>
    </row>
    <row r="604" spans="1:10" ht="30.75" thickBot="1" x14ac:dyDescent="0.3">
      <c r="A604" s="8">
        <v>603</v>
      </c>
      <c r="B604" s="9" t="s">
        <v>10</v>
      </c>
      <c r="C604" s="9" t="s">
        <v>332</v>
      </c>
      <c r="D604" s="10">
        <v>45017</v>
      </c>
      <c r="E604" s="21">
        <v>401</v>
      </c>
      <c r="F604" s="11">
        <v>0</v>
      </c>
      <c r="J604" s="16"/>
    </row>
    <row r="605" spans="1:10" ht="30.75" thickBot="1" x14ac:dyDescent="0.3">
      <c r="A605" s="8">
        <v>604</v>
      </c>
      <c r="B605" s="9" t="s">
        <v>12</v>
      </c>
      <c r="C605" s="9" t="s">
        <v>333</v>
      </c>
      <c r="D605" s="10">
        <v>44752</v>
      </c>
      <c r="E605" s="21">
        <v>863</v>
      </c>
      <c r="F605" s="11">
        <v>0</v>
      </c>
      <c r="J605" s="16"/>
    </row>
    <row r="606" spans="1:10" ht="30.75" thickBot="1" x14ac:dyDescent="0.3">
      <c r="A606" s="4">
        <v>605</v>
      </c>
      <c r="B606" s="5" t="s">
        <v>14</v>
      </c>
      <c r="C606" s="5" t="s">
        <v>334</v>
      </c>
      <c r="D606" s="6">
        <v>44792</v>
      </c>
      <c r="E606" s="20">
        <v>948</v>
      </c>
      <c r="F606" s="7">
        <v>0</v>
      </c>
      <c r="J606" s="16"/>
    </row>
    <row r="607" spans="1:10" ht="30.75" thickBot="1" x14ac:dyDescent="0.3">
      <c r="A607" s="4">
        <v>606</v>
      </c>
      <c r="B607" s="5" t="s">
        <v>16</v>
      </c>
      <c r="C607" s="5" t="s">
        <v>335</v>
      </c>
      <c r="D607" s="6">
        <v>44660</v>
      </c>
      <c r="E607" s="20">
        <v>448</v>
      </c>
      <c r="F607" s="7">
        <v>0</v>
      </c>
      <c r="J607" s="16"/>
    </row>
    <row r="608" spans="1:10" ht="15.75" thickBot="1" x14ac:dyDescent="0.3">
      <c r="A608" s="8">
        <v>607</v>
      </c>
      <c r="B608" s="9" t="s">
        <v>18</v>
      </c>
      <c r="C608" s="9" t="s">
        <v>336</v>
      </c>
      <c r="D608" s="10">
        <v>45047</v>
      </c>
      <c r="E608" s="21">
        <v>646</v>
      </c>
      <c r="F608" s="11">
        <v>0</v>
      </c>
      <c r="J608" s="16"/>
    </row>
    <row r="609" spans="1:10" ht="15.75" thickBot="1" x14ac:dyDescent="0.3">
      <c r="A609" s="8">
        <v>608</v>
      </c>
      <c r="B609" s="9" t="s">
        <v>20</v>
      </c>
      <c r="C609" s="9" t="s">
        <v>337</v>
      </c>
      <c r="D609" s="10">
        <v>44822</v>
      </c>
      <c r="E609" s="21">
        <v>468</v>
      </c>
      <c r="F609" s="11">
        <v>0</v>
      </c>
      <c r="J609" s="16"/>
    </row>
    <row r="610" spans="1:10" ht="30.75" thickBot="1" x14ac:dyDescent="0.3">
      <c r="A610" s="4">
        <v>609</v>
      </c>
      <c r="B610" s="5" t="s">
        <v>22</v>
      </c>
      <c r="C610" s="5" t="s">
        <v>338</v>
      </c>
      <c r="D610" s="6">
        <v>44637</v>
      </c>
      <c r="E610" s="20">
        <v>931</v>
      </c>
      <c r="F610" s="7">
        <v>0</v>
      </c>
      <c r="J610" s="16"/>
    </row>
    <row r="611" spans="1:10" ht="30.75" thickBot="1" x14ac:dyDescent="0.3">
      <c r="A611" s="4">
        <v>610</v>
      </c>
      <c r="B611" s="5" t="s">
        <v>24</v>
      </c>
      <c r="C611" s="5" t="s">
        <v>339</v>
      </c>
      <c r="D611" s="6">
        <v>44562</v>
      </c>
      <c r="E611" s="20">
        <v>857</v>
      </c>
      <c r="F611" s="7">
        <v>0</v>
      </c>
      <c r="J611" s="16"/>
    </row>
    <row r="612" spans="1:10" ht="30.75" thickBot="1" x14ac:dyDescent="0.3">
      <c r="A612" s="8">
        <v>611</v>
      </c>
      <c r="B612" s="9" t="s">
        <v>6</v>
      </c>
      <c r="C612" s="9" t="s">
        <v>340</v>
      </c>
      <c r="D612" s="10">
        <v>44894</v>
      </c>
      <c r="E612" s="21">
        <v>654</v>
      </c>
      <c r="F612" s="11">
        <v>0</v>
      </c>
      <c r="J612" s="16"/>
    </row>
    <row r="613" spans="1:10" ht="15.75" thickBot="1" x14ac:dyDescent="0.3">
      <c r="A613" s="8">
        <v>612</v>
      </c>
      <c r="B613" s="9" t="s">
        <v>8</v>
      </c>
      <c r="C613" s="9" t="s">
        <v>341</v>
      </c>
      <c r="D613" s="10">
        <v>44961</v>
      </c>
      <c r="E613" s="21">
        <v>424</v>
      </c>
      <c r="F613" s="11">
        <v>0</v>
      </c>
      <c r="J613" s="16"/>
    </row>
    <row r="614" spans="1:10" ht="30.75" thickBot="1" x14ac:dyDescent="0.3">
      <c r="A614" s="4">
        <v>613</v>
      </c>
      <c r="B614" s="5" t="s">
        <v>10</v>
      </c>
      <c r="C614" s="5" t="s">
        <v>342</v>
      </c>
      <c r="D614" s="6">
        <v>44890</v>
      </c>
      <c r="E614" s="20">
        <v>508</v>
      </c>
      <c r="F614" s="7">
        <v>0</v>
      </c>
      <c r="J614" s="16"/>
    </row>
    <row r="615" spans="1:10" ht="30.75" thickBot="1" x14ac:dyDescent="0.3">
      <c r="A615" s="4">
        <v>614</v>
      </c>
      <c r="B615" s="5" t="s">
        <v>12</v>
      </c>
      <c r="C615" s="5" t="s">
        <v>343</v>
      </c>
      <c r="D615" s="6">
        <v>44996</v>
      </c>
      <c r="E615" s="20">
        <v>769</v>
      </c>
      <c r="F615" s="7">
        <v>0</v>
      </c>
      <c r="J615" s="16"/>
    </row>
    <row r="616" spans="1:10" ht="30.75" thickBot="1" x14ac:dyDescent="0.3">
      <c r="A616" s="8">
        <v>615</v>
      </c>
      <c r="B616" s="9" t="s">
        <v>14</v>
      </c>
      <c r="C616" s="9" t="s">
        <v>344</v>
      </c>
      <c r="D616" s="10">
        <v>44726</v>
      </c>
      <c r="E616" s="21">
        <v>887</v>
      </c>
      <c r="F616" s="11">
        <v>0</v>
      </c>
      <c r="J616" s="16"/>
    </row>
    <row r="617" spans="1:10" ht="30.75" thickBot="1" x14ac:dyDescent="0.3">
      <c r="A617" s="8">
        <v>616</v>
      </c>
      <c r="B617" s="9" t="s">
        <v>16</v>
      </c>
      <c r="C617" s="9" t="s">
        <v>345</v>
      </c>
      <c r="D617" s="10">
        <v>45047</v>
      </c>
      <c r="E617" s="21">
        <v>820</v>
      </c>
      <c r="F617" s="11">
        <v>0</v>
      </c>
      <c r="J617" s="16"/>
    </row>
    <row r="618" spans="1:10" ht="15.75" thickBot="1" x14ac:dyDescent="0.3">
      <c r="A618" s="4">
        <v>617</v>
      </c>
      <c r="B618" s="5" t="s">
        <v>18</v>
      </c>
      <c r="C618" s="5" t="s">
        <v>346</v>
      </c>
      <c r="D618" s="6">
        <v>44890</v>
      </c>
      <c r="E618" s="20">
        <v>450</v>
      </c>
      <c r="F618" s="7">
        <v>0</v>
      </c>
      <c r="J618" s="16"/>
    </row>
    <row r="619" spans="1:10" ht="15.75" thickBot="1" x14ac:dyDescent="0.3">
      <c r="A619" s="4">
        <v>618</v>
      </c>
      <c r="B619" s="5" t="s">
        <v>20</v>
      </c>
      <c r="C619" s="5" t="s">
        <v>347</v>
      </c>
      <c r="D619" s="6">
        <v>44800</v>
      </c>
      <c r="E619" s="20">
        <v>492</v>
      </c>
      <c r="F619" s="7">
        <v>0</v>
      </c>
      <c r="J619" s="16"/>
    </row>
    <row r="620" spans="1:10" ht="30.75" thickBot="1" x14ac:dyDescent="0.3">
      <c r="A620" s="8">
        <v>619</v>
      </c>
      <c r="B620" s="9" t="s">
        <v>22</v>
      </c>
      <c r="C620" s="9" t="s">
        <v>348</v>
      </c>
      <c r="D620" s="10">
        <v>44903</v>
      </c>
      <c r="E620" s="21">
        <v>786</v>
      </c>
      <c r="F620" s="11">
        <v>0</v>
      </c>
      <c r="J620" s="16"/>
    </row>
    <row r="621" spans="1:10" ht="30.75" thickBot="1" x14ac:dyDescent="0.3">
      <c r="A621" s="8">
        <v>620</v>
      </c>
      <c r="B621" s="9" t="s">
        <v>24</v>
      </c>
      <c r="C621" s="9" t="s">
        <v>349</v>
      </c>
      <c r="D621" s="10">
        <v>44900</v>
      </c>
      <c r="E621" s="21">
        <v>654</v>
      </c>
      <c r="F621" s="11">
        <v>0</v>
      </c>
      <c r="J621" s="16"/>
    </row>
    <row r="622" spans="1:10" ht="30.75" thickBot="1" x14ac:dyDescent="0.3">
      <c r="A622" s="4">
        <v>621</v>
      </c>
      <c r="B622" s="5" t="s">
        <v>6</v>
      </c>
      <c r="C622" s="5" t="s">
        <v>350</v>
      </c>
      <c r="D622" s="6">
        <v>44753</v>
      </c>
      <c r="E622" s="20">
        <v>484</v>
      </c>
      <c r="F622" s="7">
        <v>0</v>
      </c>
      <c r="J622" s="16"/>
    </row>
    <row r="623" spans="1:10" ht="15.75" thickBot="1" x14ac:dyDescent="0.3">
      <c r="A623" s="4">
        <v>622</v>
      </c>
      <c r="B623" s="5" t="s">
        <v>8</v>
      </c>
      <c r="C623" s="5" t="s">
        <v>351</v>
      </c>
      <c r="D623" s="6">
        <v>44793</v>
      </c>
      <c r="E623" s="20">
        <v>412</v>
      </c>
      <c r="F623" s="7">
        <v>0</v>
      </c>
      <c r="J623" s="16"/>
    </row>
    <row r="624" spans="1:10" ht="30.75" thickBot="1" x14ac:dyDescent="0.3">
      <c r="A624" s="8">
        <v>623</v>
      </c>
      <c r="B624" s="9" t="s">
        <v>10</v>
      </c>
      <c r="C624" s="9" t="s">
        <v>352</v>
      </c>
      <c r="D624" s="10">
        <v>44732</v>
      </c>
      <c r="E624" s="21">
        <v>903</v>
      </c>
      <c r="F624" s="11">
        <v>0</v>
      </c>
      <c r="J624" s="16"/>
    </row>
    <row r="625" spans="1:10" ht="30.75" thickBot="1" x14ac:dyDescent="0.3">
      <c r="A625" s="8">
        <v>624</v>
      </c>
      <c r="B625" s="9" t="s">
        <v>12</v>
      </c>
      <c r="C625" s="9" t="s">
        <v>353</v>
      </c>
      <c r="D625" s="10">
        <v>44939</v>
      </c>
      <c r="E625" s="21">
        <v>976</v>
      </c>
      <c r="F625" s="11">
        <v>0</v>
      </c>
      <c r="J625" s="16"/>
    </row>
    <row r="626" spans="1:10" ht="30.75" thickBot="1" x14ac:dyDescent="0.3">
      <c r="A626" s="4">
        <v>625</v>
      </c>
      <c r="B626" s="5" t="s">
        <v>14</v>
      </c>
      <c r="C626" s="5" t="s">
        <v>354</v>
      </c>
      <c r="D626" s="6">
        <v>44891</v>
      </c>
      <c r="E626" s="20">
        <v>707</v>
      </c>
      <c r="F626" s="7">
        <v>0</v>
      </c>
      <c r="J626" s="16"/>
    </row>
    <row r="627" spans="1:10" ht="30.75" thickBot="1" x14ac:dyDescent="0.3">
      <c r="A627" s="4">
        <v>626</v>
      </c>
      <c r="B627" s="5" t="s">
        <v>16</v>
      </c>
      <c r="C627" s="5" t="s">
        <v>355</v>
      </c>
      <c r="D627" s="6">
        <v>44902</v>
      </c>
      <c r="E627" s="20">
        <v>766</v>
      </c>
      <c r="F627" s="7">
        <v>0</v>
      </c>
      <c r="J627" s="16"/>
    </row>
    <row r="628" spans="1:10" ht="15.75" thickBot="1" x14ac:dyDescent="0.3">
      <c r="A628" s="8">
        <v>627</v>
      </c>
      <c r="B628" s="9" t="s">
        <v>18</v>
      </c>
      <c r="C628" s="9" t="s">
        <v>356</v>
      </c>
      <c r="D628" s="10">
        <v>44772</v>
      </c>
      <c r="E628" s="21">
        <v>939</v>
      </c>
      <c r="F628" s="11">
        <v>0</v>
      </c>
      <c r="J628" s="16"/>
    </row>
    <row r="629" spans="1:10" ht="15.75" thickBot="1" x14ac:dyDescent="0.3">
      <c r="A629" s="8">
        <v>628</v>
      </c>
      <c r="B629" s="9" t="s">
        <v>20</v>
      </c>
      <c r="C629" s="9" t="s">
        <v>357</v>
      </c>
      <c r="D629" s="10">
        <v>44983</v>
      </c>
      <c r="E629" s="21">
        <v>690</v>
      </c>
      <c r="F629" s="11">
        <v>0</v>
      </c>
      <c r="J629" s="16"/>
    </row>
    <row r="630" spans="1:10" ht="30.75" thickBot="1" x14ac:dyDescent="0.3">
      <c r="A630" s="4">
        <v>629</v>
      </c>
      <c r="B630" s="5" t="s">
        <v>22</v>
      </c>
      <c r="C630" s="5" t="s">
        <v>358</v>
      </c>
      <c r="D630" s="6">
        <v>44900</v>
      </c>
      <c r="E630" s="20">
        <v>629</v>
      </c>
      <c r="F630" s="7">
        <v>0</v>
      </c>
      <c r="J630" s="16"/>
    </row>
    <row r="631" spans="1:10" ht="30.75" thickBot="1" x14ac:dyDescent="0.3">
      <c r="A631" s="4">
        <v>630</v>
      </c>
      <c r="B631" s="5" t="s">
        <v>24</v>
      </c>
      <c r="C631" s="5" t="s">
        <v>359</v>
      </c>
      <c r="D631" s="6">
        <v>44977</v>
      </c>
      <c r="E631" s="20">
        <v>746</v>
      </c>
      <c r="F631" s="7">
        <v>0</v>
      </c>
      <c r="J631" s="16"/>
    </row>
    <row r="632" spans="1:10" ht="30.75" thickBot="1" x14ac:dyDescent="0.3">
      <c r="A632" s="8">
        <v>631</v>
      </c>
      <c r="B632" s="9" t="s">
        <v>6</v>
      </c>
      <c r="C632" s="9" t="s">
        <v>360</v>
      </c>
      <c r="D632" s="10">
        <v>44762</v>
      </c>
      <c r="E632" s="21">
        <v>704</v>
      </c>
      <c r="F632" s="11">
        <v>0</v>
      </c>
      <c r="J632" s="16"/>
    </row>
    <row r="633" spans="1:10" ht="15.75" thickBot="1" x14ac:dyDescent="0.3">
      <c r="A633" s="8">
        <v>632</v>
      </c>
      <c r="B633" s="9" t="s">
        <v>8</v>
      </c>
      <c r="C633" s="9" t="s">
        <v>361</v>
      </c>
      <c r="D633" s="10">
        <v>45011</v>
      </c>
      <c r="E633" s="21">
        <v>871</v>
      </c>
      <c r="F633" s="11">
        <v>0</v>
      </c>
      <c r="J633" s="16"/>
    </row>
    <row r="634" spans="1:10" ht="30.75" thickBot="1" x14ac:dyDescent="0.3">
      <c r="A634" s="4">
        <v>633</v>
      </c>
      <c r="B634" s="5" t="s">
        <v>10</v>
      </c>
      <c r="C634" s="5" t="s">
        <v>362</v>
      </c>
      <c r="D634" s="6">
        <v>45015</v>
      </c>
      <c r="E634" s="20">
        <v>509</v>
      </c>
      <c r="F634" s="7">
        <v>0</v>
      </c>
      <c r="J634" s="16"/>
    </row>
    <row r="635" spans="1:10" ht="30.75" thickBot="1" x14ac:dyDescent="0.3">
      <c r="A635" s="4">
        <v>634</v>
      </c>
      <c r="B635" s="5" t="s">
        <v>12</v>
      </c>
      <c r="C635" s="5" t="s">
        <v>363</v>
      </c>
      <c r="D635" s="6">
        <v>44816</v>
      </c>
      <c r="E635" s="20">
        <v>686</v>
      </c>
      <c r="F635" s="7">
        <v>0</v>
      </c>
      <c r="J635" s="16"/>
    </row>
    <row r="636" spans="1:10" ht="30.75" thickBot="1" x14ac:dyDescent="0.3">
      <c r="A636" s="8">
        <v>635</v>
      </c>
      <c r="B636" s="9" t="s">
        <v>14</v>
      </c>
      <c r="C636" s="9" t="s">
        <v>364</v>
      </c>
      <c r="D636" s="10">
        <v>44655</v>
      </c>
      <c r="E636" s="21">
        <v>836</v>
      </c>
      <c r="F636" s="11">
        <v>0</v>
      </c>
      <c r="J636" s="16"/>
    </row>
    <row r="637" spans="1:10" ht="30.75" thickBot="1" x14ac:dyDescent="0.3">
      <c r="A637" s="8">
        <v>636</v>
      </c>
      <c r="B637" s="9" t="s">
        <v>16</v>
      </c>
      <c r="C637" s="9" t="s">
        <v>365</v>
      </c>
      <c r="D637" s="10">
        <v>44933</v>
      </c>
      <c r="E637" s="21">
        <v>416</v>
      </c>
      <c r="F637" s="11">
        <v>0</v>
      </c>
      <c r="J637" s="16"/>
    </row>
    <row r="638" spans="1:10" ht="15.75" thickBot="1" x14ac:dyDescent="0.3">
      <c r="A638" s="4">
        <v>637</v>
      </c>
      <c r="B638" s="5" t="s">
        <v>18</v>
      </c>
      <c r="C638" s="5" t="s">
        <v>366</v>
      </c>
      <c r="D638" s="6">
        <v>44963</v>
      </c>
      <c r="E638" s="20">
        <v>431</v>
      </c>
      <c r="F638" s="7">
        <v>0</v>
      </c>
      <c r="J638" s="16"/>
    </row>
    <row r="639" spans="1:10" ht="15.75" thickBot="1" x14ac:dyDescent="0.3">
      <c r="A639" s="4">
        <v>638</v>
      </c>
      <c r="B639" s="5" t="s">
        <v>20</v>
      </c>
      <c r="C639" s="5" t="s">
        <v>367</v>
      </c>
      <c r="D639" s="6">
        <v>44818</v>
      </c>
      <c r="E639" s="20">
        <v>912</v>
      </c>
      <c r="F639" s="7">
        <v>0</v>
      </c>
      <c r="J639" s="16"/>
    </row>
    <row r="640" spans="1:10" ht="30.75" thickBot="1" x14ac:dyDescent="0.3">
      <c r="A640" s="8">
        <v>639</v>
      </c>
      <c r="B640" s="9" t="s">
        <v>22</v>
      </c>
      <c r="C640" s="9" t="s">
        <v>368</v>
      </c>
      <c r="D640" s="10">
        <v>44893</v>
      </c>
      <c r="E640" s="21">
        <v>897</v>
      </c>
      <c r="F640" s="11">
        <v>0</v>
      </c>
      <c r="J640" s="16"/>
    </row>
    <row r="641" spans="1:10" ht="30.75" thickBot="1" x14ac:dyDescent="0.3">
      <c r="A641" s="8">
        <v>640</v>
      </c>
      <c r="B641" s="9" t="s">
        <v>24</v>
      </c>
      <c r="C641" s="9" t="s">
        <v>369</v>
      </c>
      <c r="D641" s="10">
        <v>44728</v>
      </c>
      <c r="E641" s="21">
        <v>520</v>
      </c>
      <c r="F641" s="11">
        <v>0</v>
      </c>
      <c r="J641" s="16"/>
    </row>
    <row r="642" spans="1:10" ht="30.75" thickBot="1" x14ac:dyDescent="0.3">
      <c r="A642" s="4">
        <v>641</v>
      </c>
      <c r="B642" s="5" t="s">
        <v>6</v>
      </c>
      <c r="C642" s="5" t="s">
        <v>370</v>
      </c>
      <c r="D642" s="6">
        <v>44794</v>
      </c>
      <c r="E642" s="20">
        <v>645</v>
      </c>
      <c r="F642" s="7">
        <v>0</v>
      </c>
      <c r="J642" s="16"/>
    </row>
    <row r="643" spans="1:10" ht="15.75" thickBot="1" x14ac:dyDescent="0.3">
      <c r="A643" s="4">
        <v>642</v>
      </c>
      <c r="B643" s="5" t="s">
        <v>8</v>
      </c>
      <c r="C643" s="5" t="s">
        <v>371</v>
      </c>
      <c r="D643" s="6">
        <v>44845</v>
      </c>
      <c r="E643" s="20">
        <v>637</v>
      </c>
      <c r="F643" s="7">
        <v>0</v>
      </c>
      <c r="J643" s="16"/>
    </row>
    <row r="644" spans="1:10" ht="30.75" thickBot="1" x14ac:dyDescent="0.3">
      <c r="A644" s="8">
        <v>643</v>
      </c>
      <c r="B644" s="9" t="s">
        <v>10</v>
      </c>
      <c r="C644" s="9" t="s">
        <v>372</v>
      </c>
      <c r="D644" s="10">
        <v>45012</v>
      </c>
      <c r="E644" s="21">
        <v>934</v>
      </c>
      <c r="F644" s="11">
        <v>0</v>
      </c>
      <c r="J644" s="16"/>
    </row>
    <row r="645" spans="1:10" ht="30.75" thickBot="1" x14ac:dyDescent="0.3">
      <c r="A645" s="8">
        <v>644</v>
      </c>
      <c r="B645" s="9" t="s">
        <v>12</v>
      </c>
      <c r="C645" s="9" t="s">
        <v>373</v>
      </c>
      <c r="D645" s="10">
        <v>44654</v>
      </c>
      <c r="E645" s="21">
        <v>597</v>
      </c>
      <c r="F645" s="11">
        <v>0</v>
      </c>
      <c r="J645" s="16"/>
    </row>
    <row r="646" spans="1:10" ht="30.75" thickBot="1" x14ac:dyDescent="0.3">
      <c r="A646" s="4">
        <v>645</v>
      </c>
      <c r="B646" s="5" t="s">
        <v>14</v>
      </c>
      <c r="C646" s="5" t="s">
        <v>374</v>
      </c>
      <c r="D646" s="6">
        <v>44823</v>
      </c>
      <c r="E646" s="20">
        <v>791</v>
      </c>
      <c r="F646" s="7">
        <v>0</v>
      </c>
      <c r="J646" s="16"/>
    </row>
    <row r="647" spans="1:10" ht="30.75" thickBot="1" x14ac:dyDescent="0.3">
      <c r="A647" s="4">
        <v>646</v>
      </c>
      <c r="B647" s="5" t="s">
        <v>16</v>
      </c>
      <c r="C647" s="5" t="s">
        <v>375</v>
      </c>
      <c r="D647" s="6">
        <v>44931</v>
      </c>
      <c r="E647" s="20">
        <v>484</v>
      </c>
      <c r="F647" s="7">
        <v>0</v>
      </c>
      <c r="J647" s="16"/>
    </row>
    <row r="648" spans="1:10" ht="15.75" thickBot="1" x14ac:dyDescent="0.3">
      <c r="A648" s="8">
        <v>647</v>
      </c>
      <c r="B648" s="9" t="s">
        <v>18</v>
      </c>
      <c r="C648" s="9" t="s">
        <v>376</v>
      </c>
      <c r="D648" s="10">
        <v>44732</v>
      </c>
      <c r="E648" s="21">
        <v>544</v>
      </c>
      <c r="F648" s="11">
        <v>0</v>
      </c>
      <c r="J648" s="16"/>
    </row>
    <row r="649" spans="1:10" ht="15.75" thickBot="1" x14ac:dyDescent="0.3">
      <c r="A649" s="8">
        <v>648</v>
      </c>
      <c r="B649" s="9" t="s">
        <v>20</v>
      </c>
      <c r="C649" s="9" t="s">
        <v>377</v>
      </c>
      <c r="D649" s="10">
        <v>44906</v>
      </c>
      <c r="E649" s="21">
        <v>701</v>
      </c>
      <c r="F649" s="11">
        <v>0</v>
      </c>
      <c r="J649" s="16"/>
    </row>
    <row r="650" spans="1:10" ht="30.75" thickBot="1" x14ac:dyDescent="0.3">
      <c r="A650" s="4">
        <v>649</v>
      </c>
      <c r="B650" s="5" t="s">
        <v>22</v>
      </c>
      <c r="C650" s="5" t="s">
        <v>378</v>
      </c>
      <c r="D650" s="6">
        <v>44797</v>
      </c>
      <c r="E650" s="20">
        <v>895</v>
      </c>
      <c r="F650" s="7">
        <v>0</v>
      </c>
      <c r="J650" s="16"/>
    </row>
    <row r="651" spans="1:10" ht="30.75" thickBot="1" x14ac:dyDescent="0.3">
      <c r="A651" s="4">
        <v>650</v>
      </c>
      <c r="B651" s="5" t="s">
        <v>24</v>
      </c>
      <c r="C651" s="5" t="s">
        <v>379</v>
      </c>
      <c r="D651" s="6">
        <v>44673</v>
      </c>
      <c r="E651" s="20">
        <v>844</v>
      </c>
      <c r="F651" s="7">
        <v>0</v>
      </c>
      <c r="J651" s="16"/>
    </row>
    <row r="652" spans="1:10" ht="30.75" thickBot="1" x14ac:dyDescent="0.3">
      <c r="A652" s="8">
        <v>651</v>
      </c>
      <c r="B652" s="9" t="s">
        <v>6</v>
      </c>
      <c r="C652" s="9" t="s">
        <v>380</v>
      </c>
      <c r="D652" s="10">
        <v>44821</v>
      </c>
      <c r="E652" s="21">
        <v>537</v>
      </c>
      <c r="F652" s="11">
        <v>0</v>
      </c>
      <c r="J652" s="16"/>
    </row>
    <row r="653" spans="1:10" ht="15.75" thickBot="1" x14ac:dyDescent="0.3">
      <c r="A653" s="8">
        <v>652</v>
      </c>
      <c r="B653" s="9" t="s">
        <v>8</v>
      </c>
      <c r="C653" s="9" t="s">
        <v>381</v>
      </c>
      <c r="D653" s="10">
        <v>44735</v>
      </c>
      <c r="E653" s="21">
        <v>998</v>
      </c>
      <c r="F653" s="11">
        <v>0</v>
      </c>
      <c r="J653" s="16"/>
    </row>
    <row r="654" spans="1:10" ht="30.75" thickBot="1" x14ac:dyDescent="0.3">
      <c r="A654" s="4">
        <v>653</v>
      </c>
      <c r="B654" s="5" t="s">
        <v>10</v>
      </c>
      <c r="C654" s="5" t="s">
        <v>382</v>
      </c>
      <c r="D654" s="6">
        <v>44667</v>
      </c>
      <c r="E654" s="20">
        <v>770</v>
      </c>
      <c r="F654" s="7">
        <v>0</v>
      </c>
      <c r="J654" s="16"/>
    </row>
    <row r="655" spans="1:10" ht="30.75" thickBot="1" x14ac:dyDescent="0.3">
      <c r="A655" s="4">
        <v>654</v>
      </c>
      <c r="B655" s="5" t="s">
        <v>12</v>
      </c>
      <c r="C655" s="5" t="s">
        <v>383</v>
      </c>
      <c r="D655" s="6">
        <v>45012</v>
      </c>
      <c r="E655" s="20">
        <v>989</v>
      </c>
      <c r="F655" s="7">
        <v>0</v>
      </c>
      <c r="J655" s="16"/>
    </row>
    <row r="656" spans="1:10" ht="30.75" thickBot="1" x14ac:dyDescent="0.3">
      <c r="A656" s="8">
        <v>655</v>
      </c>
      <c r="B656" s="9" t="s">
        <v>14</v>
      </c>
      <c r="C656" s="9" t="s">
        <v>384</v>
      </c>
      <c r="D656" s="10">
        <v>44986</v>
      </c>
      <c r="E656" s="21">
        <v>466</v>
      </c>
      <c r="F656" s="11">
        <v>0</v>
      </c>
      <c r="J656" s="16"/>
    </row>
    <row r="657" spans="1:10" ht="30.75" thickBot="1" x14ac:dyDescent="0.3">
      <c r="A657" s="8">
        <v>656</v>
      </c>
      <c r="B657" s="9" t="s">
        <v>16</v>
      </c>
      <c r="C657" s="9" t="s">
        <v>385</v>
      </c>
      <c r="D657" s="10">
        <v>44713</v>
      </c>
      <c r="E657" s="21">
        <v>898</v>
      </c>
      <c r="F657" s="11">
        <v>0</v>
      </c>
      <c r="J657" s="16"/>
    </row>
    <row r="658" spans="1:10" ht="15.75" thickBot="1" x14ac:dyDescent="0.3">
      <c r="A658" s="4">
        <v>657</v>
      </c>
      <c r="B658" s="5" t="s">
        <v>18</v>
      </c>
      <c r="C658" s="5" t="s">
        <v>386</v>
      </c>
      <c r="D658" s="6">
        <v>44695</v>
      </c>
      <c r="E658" s="20">
        <v>538</v>
      </c>
      <c r="F658" s="7">
        <v>0</v>
      </c>
      <c r="J658" s="16"/>
    </row>
    <row r="659" spans="1:10" ht="15.75" thickBot="1" x14ac:dyDescent="0.3">
      <c r="A659" s="4">
        <v>658</v>
      </c>
      <c r="B659" s="5" t="s">
        <v>20</v>
      </c>
      <c r="C659" s="5" t="s">
        <v>387</v>
      </c>
      <c r="D659" s="6">
        <v>44868</v>
      </c>
      <c r="E659" s="20">
        <v>821</v>
      </c>
      <c r="F659" s="7">
        <v>0</v>
      </c>
      <c r="J659" s="16"/>
    </row>
    <row r="660" spans="1:10" ht="30.75" thickBot="1" x14ac:dyDescent="0.3">
      <c r="A660" s="8">
        <v>659</v>
      </c>
      <c r="B660" s="9" t="s">
        <v>22</v>
      </c>
      <c r="C660" s="9" t="s">
        <v>388</v>
      </c>
      <c r="D660" s="10">
        <v>44930</v>
      </c>
      <c r="E660" s="21">
        <v>453</v>
      </c>
      <c r="F660" s="11">
        <v>0</v>
      </c>
      <c r="J660" s="16"/>
    </row>
    <row r="661" spans="1:10" ht="30.75" thickBot="1" x14ac:dyDescent="0.3">
      <c r="A661" s="8">
        <v>660</v>
      </c>
      <c r="B661" s="9" t="s">
        <v>24</v>
      </c>
      <c r="C661" s="9" t="s">
        <v>389</v>
      </c>
      <c r="D661" s="10">
        <v>44895</v>
      </c>
      <c r="E661" s="21">
        <v>586</v>
      </c>
      <c r="F661" s="11">
        <v>0</v>
      </c>
      <c r="J661" s="16"/>
    </row>
    <row r="662" spans="1:10" ht="30.75" thickBot="1" x14ac:dyDescent="0.3">
      <c r="A662" s="4">
        <v>661</v>
      </c>
      <c r="B662" s="5" t="s">
        <v>6</v>
      </c>
      <c r="C662" s="5" t="s">
        <v>390</v>
      </c>
      <c r="D662" s="6">
        <v>44825</v>
      </c>
      <c r="E662" s="20">
        <v>690</v>
      </c>
      <c r="F662" s="7">
        <v>0</v>
      </c>
      <c r="J662" s="16"/>
    </row>
    <row r="663" spans="1:10" ht="15.75" thickBot="1" x14ac:dyDescent="0.3">
      <c r="A663" s="4">
        <v>662</v>
      </c>
      <c r="B663" s="5" t="s">
        <v>8</v>
      </c>
      <c r="C663" s="5" t="s">
        <v>391</v>
      </c>
      <c r="D663" s="6">
        <v>44625</v>
      </c>
      <c r="E663" s="20">
        <v>775</v>
      </c>
      <c r="F663" s="7">
        <v>0</v>
      </c>
      <c r="J663" s="16"/>
    </row>
    <row r="664" spans="1:10" ht="30.75" thickBot="1" x14ac:dyDescent="0.3">
      <c r="A664" s="8">
        <v>663</v>
      </c>
      <c r="B664" s="9" t="s">
        <v>10</v>
      </c>
      <c r="C664" s="9" t="s">
        <v>392</v>
      </c>
      <c r="D664" s="10">
        <v>44748</v>
      </c>
      <c r="E664" s="21">
        <v>600</v>
      </c>
      <c r="F664" s="11">
        <v>0</v>
      </c>
      <c r="J664" s="16"/>
    </row>
    <row r="665" spans="1:10" ht="30.75" thickBot="1" x14ac:dyDescent="0.3">
      <c r="A665" s="8">
        <v>664</v>
      </c>
      <c r="B665" s="9" t="s">
        <v>12</v>
      </c>
      <c r="C665" s="9" t="s">
        <v>393</v>
      </c>
      <c r="D665" s="10">
        <v>44905</v>
      </c>
      <c r="E665" s="21">
        <v>500</v>
      </c>
      <c r="F665" s="11">
        <v>0</v>
      </c>
      <c r="J665" s="16"/>
    </row>
    <row r="666" spans="1:10" ht="30.75" thickBot="1" x14ac:dyDescent="0.3">
      <c r="A666" s="4">
        <v>665</v>
      </c>
      <c r="B666" s="5" t="s">
        <v>14</v>
      </c>
      <c r="C666" s="5" t="s">
        <v>394</v>
      </c>
      <c r="D666" s="6">
        <v>44974</v>
      </c>
      <c r="E666" s="20">
        <v>884</v>
      </c>
      <c r="F666" s="7">
        <v>0</v>
      </c>
      <c r="J666" s="16"/>
    </row>
    <row r="667" spans="1:10" ht="30.75" thickBot="1" x14ac:dyDescent="0.3">
      <c r="A667" s="4">
        <v>666</v>
      </c>
      <c r="B667" s="5" t="s">
        <v>16</v>
      </c>
      <c r="C667" s="5" t="s">
        <v>395</v>
      </c>
      <c r="D667" s="6">
        <v>44938</v>
      </c>
      <c r="E667" s="20">
        <v>951</v>
      </c>
      <c r="F667" s="7">
        <v>0</v>
      </c>
      <c r="J667" s="16"/>
    </row>
    <row r="668" spans="1:10" ht="15.75" thickBot="1" x14ac:dyDescent="0.3">
      <c r="A668" s="8">
        <v>667</v>
      </c>
      <c r="B668" s="9" t="s">
        <v>18</v>
      </c>
      <c r="C668" s="9" t="s">
        <v>396</v>
      </c>
      <c r="D668" s="10">
        <v>44733</v>
      </c>
      <c r="E668" s="21">
        <v>455</v>
      </c>
      <c r="F668" s="11">
        <v>0</v>
      </c>
      <c r="J668" s="16"/>
    </row>
    <row r="669" spans="1:10" ht="15.75" thickBot="1" x14ac:dyDescent="0.3">
      <c r="A669" s="8">
        <v>668</v>
      </c>
      <c r="B669" s="9" t="s">
        <v>20</v>
      </c>
      <c r="C669" s="9" t="s">
        <v>397</v>
      </c>
      <c r="D669" s="10">
        <v>44967</v>
      </c>
      <c r="E669" s="21">
        <v>679</v>
      </c>
      <c r="F669" s="11">
        <v>0</v>
      </c>
      <c r="J669" s="16"/>
    </row>
    <row r="670" spans="1:10" ht="30.75" thickBot="1" x14ac:dyDescent="0.3">
      <c r="A670" s="4">
        <v>669</v>
      </c>
      <c r="B670" s="5" t="s">
        <v>22</v>
      </c>
      <c r="C670" s="5" t="s">
        <v>398</v>
      </c>
      <c r="D670" s="6">
        <v>44845</v>
      </c>
      <c r="E670" s="20">
        <v>781</v>
      </c>
      <c r="F670" s="7">
        <v>0</v>
      </c>
      <c r="J670" s="16"/>
    </row>
    <row r="671" spans="1:10" ht="30.75" thickBot="1" x14ac:dyDescent="0.3">
      <c r="A671" s="4">
        <v>670</v>
      </c>
      <c r="B671" s="5" t="s">
        <v>24</v>
      </c>
      <c r="C671" s="5" t="s">
        <v>399</v>
      </c>
      <c r="D671" s="6">
        <v>44715</v>
      </c>
      <c r="E671" s="20">
        <v>756</v>
      </c>
      <c r="F671" s="7">
        <v>0</v>
      </c>
      <c r="J671" s="16"/>
    </row>
    <row r="672" spans="1:10" ht="30.75" thickBot="1" x14ac:dyDescent="0.3">
      <c r="A672" s="8">
        <v>671</v>
      </c>
      <c r="B672" s="9" t="s">
        <v>6</v>
      </c>
      <c r="C672" s="9" t="s">
        <v>400</v>
      </c>
      <c r="D672" s="10">
        <v>44929</v>
      </c>
      <c r="E672" s="21">
        <v>637</v>
      </c>
      <c r="F672" s="11">
        <v>0</v>
      </c>
      <c r="J672" s="16"/>
    </row>
    <row r="673" spans="1:10" ht="15.75" thickBot="1" x14ac:dyDescent="0.3">
      <c r="A673" s="8">
        <v>672</v>
      </c>
      <c r="B673" s="9" t="s">
        <v>8</v>
      </c>
      <c r="C673" s="9" t="s">
        <v>401</v>
      </c>
      <c r="D673" s="10">
        <v>44856</v>
      </c>
      <c r="E673" s="21">
        <v>460</v>
      </c>
      <c r="F673" s="11">
        <v>0</v>
      </c>
      <c r="J673" s="16"/>
    </row>
    <row r="674" spans="1:10" ht="30.75" thickBot="1" x14ac:dyDescent="0.3">
      <c r="A674" s="4">
        <v>673</v>
      </c>
      <c r="B674" s="5" t="s">
        <v>10</v>
      </c>
      <c r="C674" s="5" t="s">
        <v>402</v>
      </c>
      <c r="D674" s="6">
        <v>44690</v>
      </c>
      <c r="E674" s="20">
        <v>441</v>
      </c>
      <c r="F674" s="7">
        <v>0</v>
      </c>
      <c r="J674" s="16"/>
    </row>
    <row r="675" spans="1:10" ht="30.75" thickBot="1" x14ac:dyDescent="0.3">
      <c r="A675" s="4">
        <v>674</v>
      </c>
      <c r="B675" s="5" t="s">
        <v>12</v>
      </c>
      <c r="C675" s="5" t="s">
        <v>403</v>
      </c>
      <c r="D675" s="6">
        <v>44930</v>
      </c>
      <c r="E675" s="20">
        <v>431</v>
      </c>
      <c r="F675" s="7">
        <v>0</v>
      </c>
      <c r="J675" s="16"/>
    </row>
    <row r="676" spans="1:10" ht="30.75" thickBot="1" x14ac:dyDescent="0.3">
      <c r="A676" s="8">
        <v>675</v>
      </c>
      <c r="B676" s="9" t="s">
        <v>14</v>
      </c>
      <c r="C676" s="9" t="s">
        <v>404</v>
      </c>
      <c r="D676" s="10">
        <v>44618</v>
      </c>
      <c r="E676" s="21">
        <v>711</v>
      </c>
      <c r="F676" s="11">
        <v>0</v>
      </c>
      <c r="J676" s="16"/>
    </row>
    <row r="677" spans="1:10" ht="30.75" thickBot="1" x14ac:dyDescent="0.3">
      <c r="A677" s="8">
        <v>676</v>
      </c>
      <c r="B677" s="9" t="s">
        <v>16</v>
      </c>
      <c r="C677" s="9" t="s">
        <v>405</v>
      </c>
      <c r="D677" s="10">
        <v>44798</v>
      </c>
      <c r="E677" s="21">
        <v>578</v>
      </c>
      <c r="F677" s="11">
        <v>0</v>
      </c>
      <c r="J677" s="16"/>
    </row>
    <row r="678" spans="1:10" ht="15.75" thickBot="1" x14ac:dyDescent="0.3">
      <c r="A678" s="4">
        <v>677</v>
      </c>
      <c r="B678" s="5" t="s">
        <v>18</v>
      </c>
      <c r="C678" s="5" t="s">
        <v>406</v>
      </c>
      <c r="D678" s="6">
        <v>44664</v>
      </c>
      <c r="E678" s="20">
        <v>453</v>
      </c>
      <c r="F678" s="7">
        <v>0</v>
      </c>
      <c r="J678" s="16"/>
    </row>
    <row r="679" spans="1:10" ht="15.75" thickBot="1" x14ac:dyDescent="0.3">
      <c r="A679" s="4">
        <v>678</v>
      </c>
      <c r="B679" s="5" t="s">
        <v>20</v>
      </c>
      <c r="C679" s="5" t="s">
        <v>407</v>
      </c>
      <c r="D679" s="6">
        <v>44811</v>
      </c>
      <c r="E679" s="20">
        <v>893</v>
      </c>
      <c r="F679" s="7">
        <v>0</v>
      </c>
      <c r="J679" s="16"/>
    </row>
    <row r="680" spans="1:10" ht="30.75" thickBot="1" x14ac:dyDescent="0.3">
      <c r="A680" s="8">
        <v>679</v>
      </c>
      <c r="B680" s="9" t="s">
        <v>22</v>
      </c>
      <c r="C680" s="9" t="s">
        <v>408</v>
      </c>
      <c r="D680" s="10">
        <v>44772</v>
      </c>
      <c r="E680" s="21">
        <v>700</v>
      </c>
      <c r="F680" s="11">
        <v>0</v>
      </c>
      <c r="J680" s="16"/>
    </row>
    <row r="681" spans="1:10" ht="30.75" thickBot="1" x14ac:dyDescent="0.3">
      <c r="A681" s="8">
        <v>680</v>
      </c>
      <c r="B681" s="9" t="s">
        <v>24</v>
      </c>
      <c r="C681" s="9" t="s">
        <v>409</v>
      </c>
      <c r="D681" s="10">
        <v>44939</v>
      </c>
      <c r="E681" s="21">
        <v>886</v>
      </c>
      <c r="F681" s="11">
        <v>0</v>
      </c>
      <c r="J681" s="16"/>
    </row>
    <row r="682" spans="1:10" ht="30.75" thickBot="1" x14ac:dyDescent="0.3">
      <c r="A682" s="4">
        <v>681</v>
      </c>
      <c r="B682" s="5" t="s">
        <v>6</v>
      </c>
      <c r="C682" s="5" t="s">
        <v>410</v>
      </c>
      <c r="D682" s="6">
        <v>44960</v>
      </c>
      <c r="E682" s="20">
        <v>812</v>
      </c>
      <c r="F682" s="7">
        <v>0</v>
      </c>
      <c r="J682" s="16"/>
    </row>
    <row r="683" spans="1:10" ht="15.75" thickBot="1" x14ac:dyDescent="0.3">
      <c r="A683" s="4">
        <v>682</v>
      </c>
      <c r="B683" s="5" t="s">
        <v>8</v>
      </c>
      <c r="C683" s="5" t="s">
        <v>411</v>
      </c>
      <c r="D683" s="6">
        <v>44649</v>
      </c>
      <c r="E683" s="20">
        <v>938</v>
      </c>
      <c r="F683" s="7">
        <v>0</v>
      </c>
      <c r="J683" s="16"/>
    </row>
    <row r="684" spans="1:10" ht="30.75" thickBot="1" x14ac:dyDescent="0.3">
      <c r="A684" s="8">
        <v>683</v>
      </c>
      <c r="B684" s="9" t="s">
        <v>10</v>
      </c>
      <c r="C684" s="9" t="s">
        <v>412</v>
      </c>
      <c r="D684" s="10">
        <v>44751</v>
      </c>
      <c r="E684" s="21">
        <v>544</v>
      </c>
      <c r="F684" s="11">
        <v>0</v>
      </c>
      <c r="J684" s="16"/>
    </row>
    <row r="685" spans="1:10" ht="30.75" thickBot="1" x14ac:dyDescent="0.3">
      <c r="A685" s="8">
        <v>684</v>
      </c>
      <c r="B685" s="9" t="s">
        <v>12</v>
      </c>
      <c r="C685" s="9" t="s">
        <v>413</v>
      </c>
      <c r="D685" s="10">
        <v>44672</v>
      </c>
      <c r="E685" s="21">
        <v>642</v>
      </c>
      <c r="F685" s="11">
        <v>0</v>
      </c>
      <c r="J685" s="16"/>
    </row>
    <row r="686" spans="1:10" ht="30.75" thickBot="1" x14ac:dyDescent="0.3">
      <c r="A686" s="4">
        <v>685</v>
      </c>
      <c r="B686" s="5" t="s">
        <v>14</v>
      </c>
      <c r="C686" s="5" t="s">
        <v>414</v>
      </c>
      <c r="D686" s="6">
        <v>44645</v>
      </c>
      <c r="E686" s="20">
        <v>887</v>
      </c>
      <c r="F686" s="7">
        <v>0</v>
      </c>
      <c r="J686" s="16"/>
    </row>
    <row r="687" spans="1:10" ht="30.75" thickBot="1" x14ac:dyDescent="0.3">
      <c r="A687" s="4">
        <v>686</v>
      </c>
      <c r="B687" s="5" t="s">
        <v>16</v>
      </c>
      <c r="C687" s="5" t="s">
        <v>415</v>
      </c>
      <c r="D687" s="6">
        <v>44726</v>
      </c>
      <c r="E687" s="20">
        <v>460</v>
      </c>
      <c r="F687" s="7">
        <v>0</v>
      </c>
      <c r="J687" s="16"/>
    </row>
    <row r="688" spans="1:10" ht="15.75" thickBot="1" x14ac:dyDescent="0.3">
      <c r="A688" s="8">
        <v>687</v>
      </c>
      <c r="B688" s="9" t="s">
        <v>18</v>
      </c>
      <c r="C688" s="9" t="s">
        <v>416</v>
      </c>
      <c r="D688" s="10">
        <v>44987</v>
      </c>
      <c r="E688" s="21">
        <v>669</v>
      </c>
      <c r="F688" s="11">
        <v>0</v>
      </c>
      <c r="J688" s="16"/>
    </row>
    <row r="689" spans="1:10" ht="15.75" thickBot="1" x14ac:dyDescent="0.3">
      <c r="A689" s="8">
        <v>688</v>
      </c>
      <c r="B689" s="9" t="s">
        <v>20</v>
      </c>
      <c r="C689" s="9" t="s">
        <v>417</v>
      </c>
      <c r="D689" s="10">
        <v>44743</v>
      </c>
      <c r="E689" s="21">
        <v>454</v>
      </c>
      <c r="F689" s="11">
        <v>0</v>
      </c>
      <c r="J689" s="16"/>
    </row>
    <row r="690" spans="1:10" ht="30.75" thickBot="1" x14ac:dyDescent="0.3">
      <c r="A690" s="4">
        <v>689</v>
      </c>
      <c r="B690" s="5" t="s">
        <v>22</v>
      </c>
      <c r="C690" s="5" t="s">
        <v>418</v>
      </c>
      <c r="D690" s="6">
        <v>44916</v>
      </c>
      <c r="E690" s="20">
        <v>568</v>
      </c>
      <c r="F690" s="7">
        <v>0</v>
      </c>
      <c r="J690" s="16"/>
    </row>
    <row r="691" spans="1:10" ht="30.75" thickBot="1" x14ac:dyDescent="0.3">
      <c r="A691" s="4">
        <v>690</v>
      </c>
      <c r="B691" s="5" t="s">
        <v>24</v>
      </c>
      <c r="C691" s="5" t="s">
        <v>419</v>
      </c>
      <c r="D691" s="6">
        <v>44839</v>
      </c>
      <c r="E691" s="20">
        <v>965</v>
      </c>
      <c r="F691" s="7">
        <v>0</v>
      </c>
      <c r="J691" s="16"/>
    </row>
    <row r="692" spans="1:10" ht="30.75" thickBot="1" x14ac:dyDescent="0.3">
      <c r="A692" s="8">
        <v>691</v>
      </c>
      <c r="B692" s="9" t="s">
        <v>6</v>
      </c>
      <c r="C692" s="9" t="s">
        <v>420</v>
      </c>
      <c r="D692" s="10">
        <v>44834</v>
      </c>
      <c r="E692" s="21">
        <v>639</v>
      </c>
      <c r="F692" s="11">
        <v>0</v>
      </c>
      <c r="J692" s="16"/>
    </row>
    <row r="693" spans="1:10" ht="15.75" thickBot="1" x14ac:dyDescent="0.3">
      <c r="A693" s="8">
        <v>692</v>
      </c>
      <c r="B693" s="9" t="s">
        <v>8</v>
      </c>
      <c r="C693" s="9" t="s">
        <v>421</v>
      </c>
      <c r="D693" s="10">
        <v>44777</v>
      </c>
      <c r="E693" s="21">
        <v>904</v>
      </c>
      <c r="F693" s="11">
        <v>0</v>
      </c>
      <c r="J693" s="16"/>
    </row>
    <row r="694" spans="1:10" ht="30.75" thickBot="1" x14ac:dyDescent="0.3">
      <c r="A694" s="4">
        <v>693</v>
      </c>
      <c r="B694" s="5" t="s">
        <v>10</v>
      </c>
      <c r="C694" s="5" t="s">
        <v>422</v>
      </c>
      <c r="D694" s="6">
        <v>44952</v>
      </c>
      <c r="E694" s="20">
        <v>684</v>
      </c>
      <c r="F694" s="7">
        <v>0</v>
      </c>
      <c r="J694" s="16"/>
    </row>
    <row r="695" spans="1:10" ht="30.75" thickBot="1" x14ac:dyDescent="0.3">
      <c r="A695" s="4">
        <v>694</v>
      </c>
      <c r="B695" s="5" t="s">
        <v>12</v>
      </c>
      <c r="C695" s="5" t="s">
        <v>423</v>
      </c>
      <c r="D695" s="6">
        <v>44783</v>
      </c>
      <c r="E695" s="20">
        <v>772</v>
      </c>
      <c r="F695" s="7">
        <v>0</v>
      </c>
      <c r="J695" s="16"/>
    </row>
    <row r="696" spans="1:10" ht="30.75" thickBot="1" x14ac:dyDescent="0.3">
      <c r="A696" s="8">
        <v>695</v>
      </c>
      <c r="B696" s="9" t="s">
        <v>14</v>
      </c>
      <c r="C696" s="9" t="s">
        <v>424</v>
      </c>
      <c r="D696" s="10">
        <v>44797</v>
      </c>
      <c r="E696" s="21">
        <v>774</v>
      </c>
      <c r="F696" s="11">
        <v>0</v>
      </c>
      <c r="J696" s="16"/>
    </row>
    <row r="697" spans="1:10" ht="30.75" thickBot="1" x14ac:dyDescent="0.3">
      <c r="A697" s="8">
        <v>696</v>
      </c>
      <c r="B697" s="9" t="s">
        <v>16</v>
      </c>
      <c r="C697" s="9" t="s">
        <v>425</v>
      </c>
      <c r="D697" s="10">
        <v>44598</v>
      </c>
      <c r="E697" s="21">
        <v>567</v>
      </c>
      <c r="F697" s="11">
        <v>0</v>
      </c>
      <c r="J697" s="16"/>
    </row>
    <row r="698" spans="1:10" ht="15.75" thickBot="1" x14ac:dyDescent="0.3">
      <c r="A698" s="4">
        <v>697</v>
      </c>
      <c r="B698" s="5" t="s">
        <v>18</v>
      </c>
      <c r="C698" s="5" t="s">
        <v>426</v>
      </c>
      <c r="D698" s="6">
        <v>44922</v>
      </c>
      <c r="E698" s="20">
        <v>854</v>
      </c>
      <c r="F698" s="7">
        <v>0</v>
      </c>
      <c r="J698" s="16"/>
    </row>
    <row r="699" spans="1:10" ht="15.75" thickBot="1" x14ac:dyDescent="0.3">
      <c r="A699" s="4">
        <v>698</v>
      </c>
      <c r="B699" s="5" t="s">
        <v>20</v>
      </c>
      <c r="C699" s="5" t="s">
        <v>427</v>
      </c>
      <c r="D699" s="6">
        <v>44890</v>
      </c>
      <c r="E699" s="20">
        <v>556</v>
      </c>
      <c r="F699" s="7">
        <v>0</v>
      </c>
      <c r="J699" s="16"/>
    </row>
    <row r="700" spans="1:10" ht="30.75" thickBot="1" x14ac:dyDescent="0.3">
      <c r="A700" s="8">
        <v>699</v>
      </c>
      <c r="B700" s="9" t="s">
        <v>22</v>
      </c>
      <c r="C700" s="9" t="s">
        <v>428</v>
      </c>
      <c r="D700" s="10">
        <v>44674</v>
      </c>
      <c r="E700" s="21">
        <v>873</v>
      </c>
      <c r="F700" s="11">
        <v>0</v>
      </c>
      <c r="J700" s="16"/>
    </row>
    <row r="701" spans="1:10" ht="30.75" thickBot="1" x14ac:dyDescent="0.3">
      <c r="A701" s="8">
        <v>700</v>
      </c>
      <c r="B701" s="9" t="s">
        <v>24</v>
      </c>
      <c r="C701" s="9" t="s">
        <v>429</v>
      </c>
      <c r="D701" s="10">
        <v>44922</v>
      </c>
      <c r="E701" s="21">
        <v>878</v>
      </c>
      <c r="F701" s="11">
        <v>0</v>
      </c>
      <c r="J701" s="16"/>
    </row>
    <row r="702" spans="1:10" ht="30.75" thickBot="1" x14ac:dyDescent="0.3">
      <c r="A702" s="4">
        <v>701</v>
      </c>
      <c r="B702" s="5" t="s">
        <v>6</v>
      </c>
      <c r="C702" s="5" t="s">
        <v>430</v>
      </c>
      <c r="D702" s="6">
        <v>44771</v>
      </c>
      <c r="E702" s="20">
        <v>825</v>
      </c>
      <c r="F702" s="7">
        <v>0</v>
      </c>
      <c r="J702" s="16"/>
    </row>
    <row r="703" spans="1:10" ht="15.75" thickBot="1" x14ac:dyDescent="0.3">
      <c r="A703" s="4">
        <v>702</v>
      </c>
      <c r="B703" s="5" t="s">
        <v>8</v>
      </c>
      <c r="C703" s="5" t="s">
        <v>431</v>
      </c>
      <c r="D703" s="6">
        <v>44585</v>
      </c>
      <c r="E703" s="20">
        <v>697</v>
      </c>
      <c r="F703" s="7">
        <v>0</v>
      </c>
      <c r="J703" s="16"/>
    </row>
    <row r="704" spans="1:10" ht="30.75" thickBot="1" x14ac:dyDescent="0.3">
      <c r="A704" s="8">
        <v>703</v>
      </c>
      <c r="B704" s="9" t="s">
        <v>10</v>
      </c>
      <c r="C704" s="9" t="s">
        <v>432</v>
      </c>
      <c r="D704" s="10">
        <v>45017</v>
      </c>
      <c r="E704" s="21">
        <v>996</v>
      </c>
      <c r="F704" s="11">
        <v>0</v>
      </c>
      <c r="J704" s="16"/>
    </row>
    <row r="705" spans="1:10" ht="30.75" thickBot="1" x14ac:dyDescent="0.3">
      <c r="A705" s="8">
        <v>704</v>
      </c>
      <c r="B705" s="9" t="s">
        <v>12</v>
      </c>
      <c r="C705" s="9" t="s">
        <v>433</v>
      </c>
      <c r="D705" s="10">
        <v>44752</v>
      </c>
      <c r="E705" s="21">
        <v>812</v>
      </c>
      <c r="F705" s="11">
        <v>0</v>
      </c>
      <c r="J705" s="16"/>
    </row>
    <row r="706" spans="1:10" ht="30.75" thickBot="1" x14ac:dyDescent="0.3">
      <c r="A706" s="4">
        <v>705</v>
      </c>
      <c r="B706" s="5" t="s">
        <v>14</v>
      </c>
      <c r="C706" s="5" t="s">
        <v>434</v>
      </c>
      <c r="D706" s="6">
        <v>44792</v>
      </c>
      <c r="E706" s="20">
        <v>951</v>
      </c>
      <c r="F706" s="7">
        <v>0</v>
      </c>
      <c r="J706" s="16"/>
    </row>
    <row r="707" spans="1:10" ht="30.75" thickBot="1" x14ac:dyDescent="0.3">
      <c r="A707" s="4">
        <v>706</v>
      </c>
      <c r="B707" s="5" t="s">
        <v>16</v>
      </c>
      <c r="C707" s="5" t="s">
        <v>435</v>
      </c>
      <c r="D707" s="6">
        <v>44660</v>
      </c>
      <c r="E707" s="20">
        <v>675</v>
      </c>
      <c r="F707" s="7">
        <v>0</v>
      </c>
      <c r="J707" s="16"/>
    </row>
    <row r="708" spans="1:10" ht="15.75" thickBot="1" x14ac:dyDescent="0.3">
      <c r="A708" s="8">
        <v>707</v>
      </c>
      <c r="B708" s="9" t="s">
        <v>18</v>
      </c>
      <c r="C708" s="9" t="s">
        <v>436</v>
      </c>
      <c r="D708" s="10">
        <v>45047</v>
      </c>
      <c r="E708" s="21">
        <v>547</v>
      </c>
      <c r="F708" s="11">
        <v>0</v>
      </c>
      <c r="J708" s="16"/>
    </row>
    <row r="709" spans="1:10" ht="15.75" thickBot="1" x14ac:dyDescent="0.3">
      <c r="A709" s="8">
        <v>708</v>
      </c>
      <c r="B709" s="9" t="s">
        <v>20</v>
      </c>
      <c r="C709" s="9" t="s">
        <v>437</v>
      </c>
      <c r="D709" s="10">
        <v>44822</v>
      </c>
      <c r="E709" s="21">
        <v>562</v>
      </c>
      <c r="F709" s="11">
        <v>0</v>
      </c>
      <c r="J709" s="16"/>
    </row>
    <row r="710" spans="1:10" ht="30.75" thickBot="1" x14ac:dyDescent="0.3">
      <c r="A710" s="4">
        <v>709</v>
      </c>
      <c r="B710" s="5" t="s">
        <v>22</v>
      </c>
      <c r="C710" s="5" t="s">
        <v>438</v>
      </c>
      <c r="D710" s="6">
        <v>44637</v>
      </c>
      <c r="E710" s="20">
        <v>760</v>
      </c>
      <c r="F710" s="7">
        <v>0</v>
      </c>
      <c r="J710" s="16"/>
    </row>
    <row r="711" spans="1:10" ht="30.75" thickBot="1" x14ac:dyDescent="0.3">
      <c r="A711" s="4">
        <v>710</v>
      </c>
      <c r="B711" s="5" t="s">
        <v>24</v>
      </c>
      <c r="C711" s="5" t="s">
        <v>439</v>
      </c>
      <c r="D711" s="6">
        <v>44562</v>
      </c>
      <c r="E711" s="20">
        <v>824</v>
      </c>
      <c r="F711" s="7">
        <v>0</v>
      </c>
      <c r="J711" s="16"/>
    </row>
    <row r="712" spans="1:10" ht="30.75" thickBot="1" x14ac:dyDescent="0.3">
      <c r="A712" s="8">
        <v>711</v>
      </c>
      <c r="B712" s="9" t="s">
        <v>6</v>
      </c>
      <c r="C712" s="9" t="s">
        <v>440</v>
      </c>
      <c r="D712" s="10">
        <v>44894</v>
      </c>
      <c r="E712" s="21">
        <v>604</v>
      </c>
      <c r="F712" s="11">
        <v>0</v>
      </c>
      <c r="J712" s="16"/>
    </row>
    <row r="713" spans="1:10" ht="15.75" thickBot="1" x14ac:dyDescent="0.3">
      <c r="A713" s="8">
        <v>712</v>
      </c>
      <c r="B713" s="9" t="s">
        <v>8</v>
      </c>
      <c r="C713" s="9" t="s">
        <v>441</v>
      </c>
      <c r="D713" s="10">
        <v>44961</v>
      </c>
      <c r="E713" s="21">
        <v>427</v>
      </c>
      <c r="F713" s="11">
        <v>0</v>
      </c>
      <c r="J713" s="16"/>
    </row>
    <row r="714" spans="1:10" ht="30.75" thickBot="1" x14ac:dyDescent="0.3">
      <c r="A714" s="4">
        <v>713</v>
      </c>
      <c r="B714" s="5" t="s">
        <v>10</v>
      </c>
      <c r="C714" s="5" t="s">
        <v>442</v>
      </c>
      <c r="D714" s="6">
        <v>44890</v>
      </c>
      <c r="E714" s="20">
        <v>639</v>
      </c>
      <c r="F714" s="7">
        <v>0</v>
      </c>
      <c r="J714" s="16"/>
    </row>
    <row r="715" spans="1:10" ht="30.75" thickBot="1" x14ac:dyDescent="0.3">
      <c r="A715" s="4">
        <v>714</v>
      </c>
      <c r="B715" s="5" t="s">
        <v>12</v>
      </c>
      <c r="C715" s="5" t="s">
        <v>443</v>
      </c>
      <c r="D715" s="6">
        <v>44996</v>
      </c>
      <c r="E715" s="20">
        <v>859</v>
      </c>
      <c r="F715" s="7">
        <v>0</v>
      </c>
      <c r="J715" s="16"/>
    </row>
    <row r="716" spans="1:10" ht="30.75" thickBot="1" x14ac:dyDescent="0.3">
      <c r="A716" s="8">
        <v>715</v>
      </c>
      <c r="B716" s="9" t="s">
        <v>14</v>
      </c>
      <c r="C716" s="9" t="s">
        <v>444</v>
      </c>
      <c r="D716" s="10">
        <v>44726</v>
      </c>
      <c r="E716" s="21">
        <v>450</v>
      </c>
      <c r="F716" s="11">
        <v>0</v>
      </c>
      <c r="J716" s="16"/>
    </row>
    <row r="717" spans="1:10" ht="30.75" thickBot="1" x14ac:dyDescent="0.3">
      <c r="A717" s="8">
        <v>716</v>
      </c>
      <c r="B717" s="9" t="s">
        <v>16</v>
      </c>
      <c r="C717" s="9" t="s">
        <v>445</v>
      </c>
      <c r="D717" s="10">
        <v>45047</v>
      </c>
      <c r="E717" s="21">
        <v>822</v>
      </c>
      <c r="F717" s="11">
        <v>0</v>
      </c>
      <c r="J717" s="16"/>
    </row>
    <row r="718" spans="1:10" ht="15.75" thickBot="1" x14ac:dyDescent="0.3">
      <c r="A718" s="4">
        <v>717</v>
      </c>
      <c r="B718" s="5" t="s">
        <v>18</v>
      </c>
      <c r="C718" s="5" t="s">
        <v>446</v>
      </c>
      <c r="D718" s="6">
        <v>44890</v>
      </c>
      <c r="E718" s="20">
        <v>710</v>
      </c>
      <c r="F718" s="7">
        <v>0</v>
      </c>
      <c r="J718" s="16"/>
    </row>
    <row r="719" spans="1:10" ht="15.75" thickBot="1" x14ac:dyDescent="0.3">
      <c r="A719" s="4">
        <v>718</v>
      </c>
      <c r="B719" s="5" t="s">
        <v>20</v>
      </c>
      <c r="C719" s="5" t="s">
        <v>447</v>
      </c>
      <c r="D719" s="6">
        <v>44800</v>
      </c>
      <c r="E719" s="20">
        <v>477</v>
      </c>
      <c r="F719" s="7">
        <v>0</v>
      </c>
      <c r="J719" s="16"/>
    </row>
    <row r="720" spans="1:10" ht="30.75" thickBot="1" x14ac:dyDescent="0.3">
      <c r="A720" s="8">
        <v>719</v>
      </c>
      <c r="B720" s="9" t="s">
        <v>22</v>
      </c>
      <c r="C720" s="9" t="s">
        <v>448</v>
      </c>
      <c r="D720" s="10">
        <v>44903</v>
      </c>
      <c r="E720" s="21">
        <v>492</v>
      </c>
      <c r="F720" s="11">
        <v>0</v>
      </c>
      <c r="J720" s="16"/>
    </row>
    <row r="721" spans="1:10" ht="30.75" thickBot="1" x14ac:dyDescent="0.3">
      <c r="A721" s="8">
        <v>720</v>
      </c>
      <c r="B721" s="9" t="s">
        <v>24</v>
      </c>
      <c r="C721" s="9" t="s">
        <v>449</v>
      </c>
      <c r="D721" s="10">
        <v>44900</v>
      </c>
      <c r="E721" s="21">
        <v>714</v>
      </c>
      <c r="F721" s="11">
        <v>0</v>
      </c>
      <c r="J721" s="16"/>
    </row>
    <row r="722" spans="1:10" ht="30.75" thickBot="1" x14ac:dyDescent="0.3">
      <c r="A722" s="4">
        <v>721</v>
      </c>
      <c r="B722" s="5" t="s">
        <v>6</v>
      </c>
      <c r="C722" s="5" t="s">
        <v>450</v>
      </c>
      <c r="D722" s="6">
        <v>44753</v>
      </c>
      <c r="E722" s="20">
        <v>657</v>
      </c>
      <c r="F722" s="7">
        <v>0</v>
      </c>
      <c r="J722" s="16"/>
    </row>
    <row r="723" spans="1:10" ht="15.75" thickBot="1" x14ac:dyDescent="0.3">
      <c r="A723" s="4">
        <v>722</v>
      </c>
      <c r="B723" s="5" t="s">
        <v>8</v>
      </c>
      <c r="C723" s="5" t="s">
        <v>451</v>
      </c>
      <c r="D723" s="6">
        <v>44793</v>
      </c>
      <c r="E723" s="20">
        <v>752</v>
      </c>
      <c r="F723" s="7">
        <v>0</v>
      </c>
      <c r="J723" s="16"/>
    </row>
    <row r="724" spans="1:10" ht="30.75" thickBot="1" x14ac:dyDescent="0.3">
      <c r="A724" s="8">
        <v>723</v>
      </c>
      <c r="B724" s="9" t="s">
        <v>10</v>
      </c>
      <c r="C724" s="9" t="s">
        <v>452</v>
      </c>
      <c r="D724" s="10">
        <v>44732</v>
      </c>
      <c r="E724" s="21">
        <v>669</v>
      </c>
      <c r="F724" s="11">
        <v>0</v>
      </c>
      <c r="J724" s="16"/>
    </row>
    <row r="725" spans="1:10" ht="30.75" thickBot="1" x14ac:dyDescent="0.3">
      <c r="A725" s="8">
        <v>724</v>
      </c>
      <c r="B725" s="9" t="s">
        <v>12</v>
      </c>
      <c r="C725" s="9" t="s">
        <v>453</v>
      </c>
      <c r="D725" s="10">
        <v>44939</v>
      </c>
      <c r="E725" s="21">
        <v>456</v>
      </c>
      <c r="F725" s="11">
        <v>0</v>
      </c>
      <c r="J725" s="16"/>
    </row>
    <row r="726" spans="1:10" ht="30.75" thickBot="1" x14ac:dyDescent="0.3">
      <c r="A726" s="4">
        <v>725</v>
      </c>
      <c r="B726" s="5" t="s">
        <v>14</v>
      </c>
      <c r="C726" s="5" t="s">
        <v>454</v>
      </c>
      <c r="D726" s="6">
        <v>44891</v>
      </c>
      <c r="E726" s="20">
        <v>943</v>
      </c>
      <c r="F726" s="7">
        <v>0</v>
      </c>
      <c r="J726" s="16"/>
    </row>
    <row r="727" spans="1:10" ht="30.75" thickBot="1" x14ac:dyDescent="0.3">
      <c r="A727" s="4">
        <v>726</v>
      </c>
      <c r="B727" s="5" t="s">
        <v>16</v>
      </c>
      <c r="C727" s="5" t="s">
        <v>455</v>
      </c>
      <c r="D727" s="6">
        <v>44902</v>
      </c>
      <c r="E727" s="20">
        <v>701</v>
      </c>
      <c r="F727" s="7">
        <v>0</v>
      </c>
      <c r="J727" s="16"/>
    </row>
    <row r="728" spans="1:10" ht="15.75" thickBot="1" x14ac:dyDescent="0.3">
      <c r="A728" s="8">
        <v>727</v>
      </c>
      <c r="B728" s="9" t="s">
        <v>18</v>
      </c>
      <c r="C728" s="9" t="s">
        <v>456</v>
      </c>
      <c r="D728" s="10">
        <v>44772</v>
      </c>
      <c r="E728" s="21">
        <v>790</v>
      </c>
      <c r="F728" s="11">
        <v>0</v>
      </c>
      <c r="J728" s="16"/>
    </row>
    <row r="729" spans="1:10" ht="15.75" thickBot="1" x14ac:dyDescent="0.3">
      <c r="A729" s="8">
        <v>728</v>
      </c>
      <c r="B729" s="9" t="s">
        <v>20</v>
      </c>
      <c r="C729" s="9" t="s">
        <v>457</v>
      </c>
      <c r="D729" s="10">
        <v>44983</v>
      </c>
      <c r="E729" s="21">
        <v>515</v>
      </c>
      <c r="F729" s="11">
        <v>0</v>
      </c>
      <c r="J729" s="16"/>
    </row>
    <row r="730" spans="1:10" ht="30.75" thickBot="1" x14ac:dyDescent="0.3">
      <c r="A730" s="4">
        <v>729</v>
      </c>
      <c r="B730" s="5" t="s">
        <v>22</v>
      </c>
      <c r="C730" s="5" t="s">
        <v>458</v>
      </c>
      <c r="D730" s="6">
        <v>44900</v>
      </c>
      <c r="E730" s="20">
        <v>922</v>
      </c>
      <c r="F730" s="7">
        <v>0</v>
      </c>
      <c r="J730" s="16"/>
    </row>
    <row r="731" spans="1:10" ht="30.75" thickBot="1" x14ac:dyDescent="0.3">
      <c r="A731" s="4">
        <v>730</v>
      </c>
      <c r="B731" s="5" t="s">
        <v>24</v>
      </c>
      <c r="C731" s="5" t="s">
        <v>459</v>
      </c>
      <c r="D731" s="6">
        <v>44977</v>
      </c>
      <c r="E731" s="20">
        <v>411</v>
      </c>
      <c r="F731" s="7">
        <v>0</v>
      </c>
      <c r="J731" s="16"/>
    </row>
    <row r="732" spans="1:10" ht="30.75" thickBot="1" x14ac:dyDescent="0.3">
      <c r="A732" s="8">
        <v>731</v>
      </c>
      <c r="B732" s="9" t="s">
        <v>6</v>
      </c>
      <c r="C732" s="9" t="s">
        <v>460</v>
      </c>
      <c r="D732" s="10">
        <v>44762</v>
      </c>
      <c r="E732" s="21">
        <v>627</v>
      </c>
      <c r="F732" s="11">
        <v>0</v>
      </c>
      <c r="J732" s="16"/>
    </row>
    <row r="733" spans="1:10" ht="15.75" thickBot="1" x14ac:dyDescent="0.3">
      <c r="A733" s="8">
        <v>732</v>
      </c>
      <c r="B733" s="9" t="s">
        <v>8</v>
      </c>
      <c r="C733" s="9" t="s">
        <v>461</v>
      </c>
      <c r="D733" s="10">
        <v>45011</v>
      </c>
      <c r="E733" s="21">
        <v>610</v>
      </c>
      <c r="F733" s="11">
        <v>0</v>
      </c>
      <c r="J733" s="16"/>
    </row>
    <row r="734" spans="1:10" ht="30.75" thickBot="1" x14ac:dyDescent="0.3">
      <c r="A734" s="4">
        <v>733</v>
      </c>
      <c r="B734" s="5" t="s">
        <v>10</v>
      </c>
      <c r="C734" s="5" t="s">
        <v>462</v>
      </c>
      <c r="D734" s="6">
        <v>45015</v>
      </c>
      <c r="E734" s="20">
        <v>828</v>
      </c>
      <c r="F734" s="7">
        <v>0</v>
      </c>
      <c r="J734" s="16"/>
    </row>
    <row r="735" spans="1:10" ht="30.75" thickBot="1" x14ac:dyDescent="0.3">
      <c r="A735" s="4">
        <v>734</v>
      </c>
      <c r="B735" s="5" t="s">
        <v>12</v>
      </c>
      <c r="C735" s="5" t="s">
        <v>463</v>
      </c>
      <c r="D735" s="6">
        <v>44816</v>
      </c>
      <c r="E735" s="20">
        <v>646</v>
      </c>
      <c r="F735" s="7">
        <v>0</v>
      </c>
      <c r="J735" s="16"/>
    </row>
    <row r="736" spans="1:10" ht="30.75" thickBot="1" x14ac:dyDescent="0.3">
      <c r="A736" s="8">
        <v>735</v>
      </c>
      <c r="B736" s="9" t="s">
        <v>14</v>
      </c>
      <c r="C736" s="9" t="s">
        <v>464</v>
      </c>
      <c r="D736" s="10">
        <v>44655</v>
      </c>
      <c r="E736" s="21">
        <v>725</v>
      </c>
      <c r="F736" s="11">
        <v>0</v>
      </c>
      <c r="J736" s="16"/>
    </row>
    <row r="737" spans="1:10" ht="30.75" thickBot="1" x14ac:dyDescent="0.3">
      <c r="A737" s="8">
        <v>736</v>
      </c>
      <c r="B737" s="9" t="s">
        <v>16</v>
      </c>
      <c r="C737" s="9" t="s">
        <v>465</v>
      </c>
      <c r="D737" s="10">
        <v>44933</v>
      </c>
      <c r="E737" s="21">
        <v>944</v>
      </c>
      <c r="F737" s="11">
        <v>0</v>
      </c>
      <c r="J737" s="16"/>
    </row>
    <row r="738" spans="1:10" ht="15.75" thickBot="1" x14ac:dyDescent="0.3">
      <c r="A738" s="4">
        <v>737</v>
      </c>
      <c r="B738" s="5" t="s">
        <v>18</v>
      </c>
      <c r="C738" s="5" t="s">
        <v>466</v>
      </c>
      <c r="D738" s="6">
        <v>44963</v>
      </c>
      <c r="E738" s="20">
        <v>663</v>
      </c>
      <c r="F738" s="7">
        <v>0</v>
      </c>
      <c r="J738" s="16"/>
    </row>
    <row r="739" spans="1:10" ht="15.75" thickBot="1" x14ac:dyDescent="0.3">
      <c r="A739" s="4">
        <v>738</v>
      </c>
      <c r="B739" s="5" t="s">
        <v>20</v>
      </c>
      <c r="C739" s="5" t="s">
        <v>467</v>
      </c>
      <c r="D739" s="6">
        <v>44818</v>
      </c>
      <c r="E739" s="20">
        <v>510</v>
      </c>
      <c r="F739" s="7">
        <v>0</v>
      </c>
      <c r="J739" s="16"/>
    </row>
    <row r="740" spans="1:10" ht="30.75" thickBot="1" x14ac:dyDescent="0.3">
      <c r="A740" s="8">
        <v>739</v>
      </c>
      <c r="B740" s="9" t="s">
        <v>22</v>
      </c>
      <c r="C740" s="9" t="s">
        <v>468</v>
      </c>
      <c r="D740" s="10">
        <v>44893</v>
      </c>
      <c r="E740" s="21">
        <v>562</v>
      </c>
      <c r="F740" s="11">
        <v>0</v>
      </c>
      <c r="J740" s="16"/>
    </row>
    <row r="741" spans="1:10" ht="30.75" thickBot="1" x14ac:dyDescent="0.3">
      <c r="A741" s="8">
        <v>740</v>
      </c>
      <c r="B741" s="9" t="s">
        <v>24</v>
      </c>
      <c r="C741" s="9" t="s">
        <v>469</v>
      </c>
      <c r="D741" s="10">
        <v>44728</v>
      </c>
      <c r="E741" s="21">
        <v>924</v>
      </c>
      <c r="F741" s="11">
        <v>0</v>
      </c>
      <c r="J741" s="16"/>
    </row>
    <row r="742" spans="1:10" ht="30.75" thickBot="1" x14ac:dyDescent="0.3">
      <c r="A742" s="4">
        <v>741</v>
      </c>
      <c r="B742" s="5" t="s">
        <v>6</v>
      </c>
      <c r="C742" s="5" t="s">
        <v>470</v>
      </c>
      <c r="D742" s="6">
        <v>44794</v>
      </c>
      <c r="E742" s="20">
        <v>877</v>
      </c>
      <c r="F742" s="7">
        <v>0</v>
      </c>
      <c r="J742" s="16"/>
    </row>
    <row r="743" spans="1:10" ht="15.75" thickBot="1" x14ac:dyDescent="0.3">
      <c r="A743" s="4">
        <v>742</v>
      </c>
      <c r="B743" s="5" t="s">
        <v>8</v>
      </c>
      <c r="C743" s="5" t="s">
        <v>471</v>
      </c>
      <c r="D743" s="6">
        <v>44845</v>
      </c>
      <c r="E743" s="20">
        <v>725</v>
      </c>
      <c r="F743" s="7">
        <v>0</v>
      </c>
      <c r="J743" s="16"/>
    </row>
    <row r="744" spans="1:10" ht="30.75" thickBot="1" x14ac:dyDescent="0.3">
      <c r="A744" s="8">
        <v>743</v>
      </c>
      <c r="B744" s="9" t="s">
        <v>10</v>
      </c>
      <c r="C744" s="9" t="s">
        <v>472</v>
      </c>
      <c r="D744" s="10">
        <v>45012</v>
      </c>
      <c r="E744" s="21">
        <v>733</v>
      </c>
      <c r="F744" s="11">
        <v>0</v>
      </c>
      <c r="J744" s="16"/>
    </row>
    <row r="745" spans="1:10" ht="30.75" thickBot="1" x14ac:dyDescent="0.3">
      <c r="A745" s="8">
        <v>744</v>
      </c>
      <c r="B745" s="9" t="s">
        <v>12</v>
      </c>
      <c r="C745" s="9" t="s">
        <v>473</v>
      </c>
      <c r="D745" s="10">
        <v>44654</v>
      </c>
      <c r="E745" s="21">
        <v>773</v>
      </c>
      <c r="F745" s="11">
        <v>0</v>
      </c>
      <c r="J745" s="16"/>
    </row>
    <row r="746" spans="1:10" ht="30.75" thickBot="1" x14ac:dyDescent="0.3">
      <c r="A746" s="4">
        <v>745</v>
      </c>
      <c r="B746" s="5" t="s">
        <v>14</v>
      </c>
      <c r="C746" s="5" t="s">
        <v>474</v>
      </c>
      <c r="D746" s="6">
        <v>44823</v>
      </c>
      <c r="E746" s="20">
        <v>484</v>
      </c>
      <c r="F746" s="7">
        <v>0</v>
      </c>
      <c r="J746" s="16"/>
    </row>
    <row r="747" spans="1:10" ht="30.75" thickBot="1" x14ac:dyDescent="0.3">
      <c r="A747" s="4">
        <v>746</v>
      </c>
      <c r="B747" s="5" t="s">
        <v>16</v>
      </c>
      <c r="C747" s="5" t="s">
        <v>475</v>
      </c>
      <c r="D747" s="6">
        <v>44931</v>
      </c>
      <c r="E747" s="20">
        <v>881</v>
      </c>
      <c r="F747" s="7">
        <v>0</v>
      </c>
      <c r="J747" s="16"/>
    </row>
    <row r="748" spans="1:10" ht="15.75" thickBot="1" x14ac:dyDescent="0.3">
      <c r="A748" s="8">
        <v>747</v>
      </c>
      <c r="B748" s="9" t="s">
        <v>18</v>
      </c>
      <c r="C748" s="9" t="s">
        <v>476</v>
      </c>
      <c r="D748" s="10">
        <v>44732</v>
      </c>
      <c r="E748" s="21">
        <v>490</v>
      </c>
      <c r="F748" s="11">
        <v>0</v>
      </c>
      <c r="J748" s="16"/>
    </row>
    <row r="749" spans="1:10" ht="15.75" thickBot="1" x14ac:dyDescent="0.3">
      <c r="A749" s="8">
        <v>748</v>
      </c>
      <c r="B749" s="9" t="s">
        <v>20</v>
      </c>
      <c r="C749" s="9" t="s">
        <v>477</v>
      </c>
      <c r="D749" s="10">
        <v>44906</v>
      </c>
      <c r="E749" s="21">
        <v>672</v>
      </c>
      <c r="F749" s="11">
        <v>0</v>
      </c>
      <c r="J749" s="16"/>
    </row>
    <row r="750" spans="1:10" ht="30.75" thickBot="1" x14ac:dyDescent="0.3">
      <c r="A750" s="4">
        <v>749</v>
      </c>
      <c r="B750" s="5" t="s">
        <v>22</v>
      </c>
      <c r="C750" s="5" t="s">
        <v>478</v>
      </c>
      <c r="D750" s="6">
        <v>44797</v>
      </c>
      <c r="E750" s="20">
        <v>651</v>
      </c>
      <c r="F750" s="7">
        <v>0</v>
      </c>
      <c r="J750" s="16"/>
    </row>
    <row r="751" spans="1:10" ht="30.75" thickBot="1" x14ac:dyDescent="0.3">
      <c r="A751" s="4">
        <v>750</v>
      </c>
      <c r="B751" s="5" t="s">
        <v>24</v>
      </c>
      <c r="C751" s="5" t="s">
        <v>479</v>
      </c>
      <c r="D751" s="6">
        <v>44673</v>
      </c>
      <c r="E751" s="20">
        <v>809</v>
      </c>
      <c r="F751" s="7">
        <v>0</v>
      </c>
      <c r="J751" s="16"/>
    </row>
    <row r="752" spans="1:10" ht="30.75" thickBot="1" x14ac:dyDescent="0.3">
      <c r="A752" s="8">
        <v>751</v>
      </c>
      <c r="B752" s="9" t="s">
        <v>6</v>
      </c>
      <c r="C752" s="9" t="s">
        <v>480</v>
      </c>
      <c r="D752" s="10">
        <v>44821</v>
      </c>
      <c r="E752" s="21">
        <v>959</v>
      </c>
      <c r="F752" s="11">
        <v>0</v>
      </c>
      <c r="J752" s="16"/>
    </row>
    <row r="753" spans="1:10" ht="15.75" thickBot="1" x14ac:dyDescent="0.3">
      <c r="A753" s="8">
        <v>752</v>
      </c>
      <c r="B753" s="9" t="s">
        <v>8</v>
      </c>
      <c r="C753" s="9" t="s">
        <v>481</v>
      </c>
      <c r="D753" s="10">
        <v>44735</v>
      </c>
      <c r="E753" s="21">
        <v>542</v>
      </c>
      <c r="F753" s="11">
        <v>0</v>
      </c>
      <c r="J753" s="16"/>
    </row>
    <row r="754" spans="1:10" ht="30.75" thickBot="1" x14ac:dyDescent="0.3">
      <c r="A754" s="4">
        <v>753</v>
      </c>
      <c r="B754" s="5" t="s">
        <v>10</v>
      </c>
      <c r="C754" s="5" t="s">
        <v>482</v>
      </c>
      <c r="D754" s="6">
        <v>44667</v>
      </c>
      <c r="E754" s="20">
        <v>467</v>
      </c>
      <c r="F754" s="7">
        <v>0</v>
      </c>
      <c r="J754" s="16"/>
    </row>
    <row r="755" spans="1:10" ht="30.75" thickBot="1" x14ac:dyDescent="0.3">
      <c r="A755" s="4">
        <v>754</v>
      </c>
      <c r="B755" s="5" t="s">
        <v>12</v>
      </c>
      <c r="C755" s="5" t="s">
        <v>483</v>
      </c>
      <c r="D755" s="6">
        <v>45012</v>
      </c>
      <c r="E755" s="20">
        <v>892</v>
      </c>
      <c r="F755" s="7">
        <v>0</v>
      </c>
      <c r="J755" s="16"/>
    </row>
    <row r="756" spans="1:10" ht="30.75" thickBot="1" x14ac:dyDescent="0.3">
      <c r="A756" s="8">
        <v>755</v>
      </c>
      <c r="B756" s="9" t="s">
        <v>14</v>
      </c>
      <c r="C756" s="9" t="s">
        <v>484</v>
      </c>
      <c r="D756" s="10">
        <v>44986</v>
      </c>
      <c r="E756" s="21">
        <v>420</v>
      </c>
      <c r="F756" s="11">
        <v>0</v>
      </c>
      <c r="J756" s="16"/>
    </row>
    <row r="757" spans="1:10" ht="30.75" thickBot="1" x14ac:dyDescent="0.3">
      <c r="A757" s="8">
        <v>756</v>
      </c>
      <c r="B757" s="9" t="s">
        <v>16</v>
      </c>
      <c r="C757" s="9" t="s">
        <v>485</v>
      </c>
      <c r="D757" s="10">
        <v>44713</v>
      </c>
      <c r="E757" s="21">
        <v>474</v>
      </c>
      <c r="F757" s="11">
        <v>0</v>
      </c>
      <c r="J757" s="16"/>
    </row>
    <row r="758" spans="1:10" ht="15.75" thickBot="1" x14ac:dyDescent="0.3">
      <c r="A758" s="4">
        <v>757</v>
      </c>
      <c r="B758" s="5" t="s">
        <v>18</v>
      </c>
      <c r="C758" s="5" t="s">
        <v>486</v>
      </c>
      <c r="D758" s="6">
        <v>44695</v>
      </c>
      <c r="E758" s="20">
        <v>749</v>
      </c>
      <c r="F758" s="7">
        <v>0</v>
      </c>
      <c r="J758" s="16"/>
    </row>
    <row r="759" spans="1:10" ht="15.75" thickBot="1" x14ac:dyDescent="0.3">
      <c r="A759" s="4">
        <v>758</v>
      </c>
      <c r="B759" s="5" t="s">
        <v>20</v>
      </c>
      <c r="C759" s="5" t="s">
        <v>487</v>
      </c>
      <c r="D759" s="6">
        <v>44868</v>
      </c>
      <c r="E759" s="20">
        <v>762</v>
      </c>
      <c r="F759" s="7">
        <v>0</v>
      </c>
      <c r="J759" s="16"/>
    </row>
    <row r="760" spans="1:10" ht="30.75" thickBot="1" x14ac:dyDescent="0.3">
      <c r="A760" s="8">
        <v>759</v>
      </c>
      <c r="B760" s="9" t="s">
        <v>22</v>
      </c>
      <c r="C760" s="9" t="s">
        <v>488</v>
      </c>
      <c r="D760" s="10">
        <v>44930</v>
      </c>
      <c r="E760" s="21">
        <v>791</v>
      </c>
      <c r="F760" s="11">
        <v>0</v>
      </c>
      <c r="J760" s="16"/>
    </row>
    <row r="761" spans="1:10" ht="30.75" thickBot="1" x14ac:dyDescent="0.3">
      <c r="A761" s="8">
        <v>760</v>
      </c>
      <c r="B761" s="9" t="s">
        <v>24</v>
      </c>
      <c r="C761" s="9" t="s">
        <v>489</v>
      </c>
      <c r="D761" s="10">
        <v>44895</v>
      </c>
      <c r="E761" s="21">
        <v>693</v>
      </c>
      <c r="F761" s="11">
        <v>0</v>
      </c>
      <c r="J761" s="16"/>
    </row>
    <row r="762" spans="1:10" ht="30.75" thickBot="1" x14ac:dyDescent="0.3">
      <c r="A762" s="4">
        <v>761</v>
      </c>
      <c r="B762" s="5" t="s">
        <v>6</v>
      </c>
      <c r="C762" s="5" t="s">
        <v>490</v>
      </c>
      <c r="D762" s="6">
        <v>44825</v>
      </c>
      <c r="E762" s="20">
        <v>950</v>
      </c>
      <c r="F762" s="7">
        <v>0</v>
      </c>
      <c r="J762" s="16"/>
    </row>
    <row r="763" spans="1:10" ht="15.75" thickBot="1" x14ac:dyDescent="0.3">
      <c r="A763" s="4">
        <v>762</v>
      </c>
      <c r="B763" s="5" t="s">
        <v>8</v>
      </c>
      <c r="C763" s="5" t="s">
        <v>491</v>
      </c>
      <c r="D763" s="6">
        <v>44625</v>
      </c>
      <c r="E763" s="20">
        <v>753</v>
      </c>
      <c r="F763" s="7">
        <v>0</v>
      </c>
      <c r="J763" s="16"/>
    </row>
    <row r="764" spans="1:10" ht="30.75" thickBot="1" x14ac:dyDescent="0.3">
      <c r="A764" s="8">
        <v>763</v>
      </c>
      <c r="B764" s="9" t="s">
        <v>10</v>
      </c>
      <c r="C764" s="9" t="s">
        <v>492</v>
      </c>
      <c r="D764" s="10">
        <v>44748</v>
      </c>
      <c r="E764" s="21">
        <v>686</v>
      </c>
      <c r="F764" s="11">
        <v>0</v>
      </c>
      <c r="J764" s="16"/>
    </row>
    <row r="765" spans="1:10" ht="30.75" thickBot="1" x14ac:dyDescent="0.3">
      <c r="A765" s="8">
        <v>764</v>
      </c>
      <c r="B765" s="9" t="s">
        <v>12</v>
      </c>
      <c r="C765" s="9" t="s">
        <v>493</v>
      </c>
      <c r="D765" s="10">
        <v>44905</v>
      </c>
      <c r="E765" s="21">
        <v>747</v>
      </c>
      <c r="F765" s="11">
        <v>0</v>
      </c>
      <c r="J765" s="16"/>
    </row>
    <row r="766" spans="1:10" ht="30.75" thickBot="1" x14ac:dyDescent="0.3">
      <c r="A766" s="4">
        <v>765</v>
      </c>
      <c r="B766" s="5" t="s">
        <v>14</v>
      </c>
      <c r="C766" s="5" t="s">
        <v>494</v>
      </c>
      <c r="D766" s="6">
        <v>44974</v>
      </c>
      <c r="E766" s="20">
        <v>768</v>
      </c>
      <c r="F766" s="7">
        <v>0</v>
      </c>
      <c r="J766" s="16"/>
    </row>
    <row r="767" spans="1:10" ht="30.75" thickBot="1" x14ac:dyDescent="0.3">
      <c r="A767" s="4">
        <v>766</v>
      </c>
      <c r="B767" s="5" t="s">
        <v>16</v>
      </c>
      <c r="C767" s="5" t="s">
        <v>495</v>
      </c>
      <c r="D767" s="6">
        <v>44938</v>
      </c>
      <c r="E767" s="20">
        <v>546</v>
      </c>
      <c r="F767" s="7">
        <v>0</v>
      </c>
      <c r="J767" s="16"/>
    </row>
    <row r="768" spans="1:10" ht="15.75" thickBot="1" x14ac:dyDescent="0.3">
      <c r="A768" s="8">
        <v>767</v>
      </c>
      <c r="B768" s="9" t="s">
        <v>18</v>
      </c>
      <c r="C768" s="9" t="s">
        <v>496</v>
      </c>
      <c r="D768" s="10">
        <v>44733</v>
      </c>
      <c r="E768" s="21">
        <v>443</v>
      </c>
      <c r="F768" s="11">
        <v>0</v>
      </c>
      <c r="J768" s="16"/>
    </row>
    <row r="769" spans="1:10" ht="15.75" thickBot="1" x14ac:dyDescent="0.3">
      <c r="A769" s="8">
        <v>768</v>
      </c>
      <c r="B769" s="9" t="s">
        <v>20</v>
      </c>
      <c r="C769" s="9" t="s">
        <v>497</v>
      </c>
      <c r="D769" s="10">
        <v>44967</v>
      </c>
      <c r="E769" s="21">
        <v>784</v>
      </c>
      <c r="F769" s="11">
        <v>0</v>
      </c>
      <c r="J769" s="16"/>
    </row>
    <row r="770" spans="1:10" ht="30.75" thickBot="1" x14ac:dyDescent="0.3">
      <c r="A770" s="4">
        <v>769</v>
      </c>
      <c r="B770" s="5" t="s">
        <v>22</v>
      </c>
      <c r="C770" s="5" t="s">
        <v>498</v>
      </c>
      <c r="D770" s="6">
        <v>44845</v>
      </c>
      <c r="E770" s="20">
        <v>858</v>
      </c>
      <c r="F770" s="7">
        <v>0</v>
      </c>
      <c r="J770" s="16"/>
    </row>
    <row r="771" spans="1:10" ht="30.75" thickBot="1" x14ac:dyDescent="0.3">
      <c r="A771" s="4">
        <v>770</v>
      </c>
      <c r="B771" s="5" t="s">
        <v>24</v>
      </c>
      <c r="C771" s="5" t="s">
        <v>499</v>
      </c>
      <c r="D771" s="6">
        <v>44715</v>
      </c>
      <c r="E771" s="20">
        <v>554</v>
      </c>
      <c r="F771" s="7">
        <v>0</v>
      </c>
      <c r="J771" s="16"/>
    </row>
    <row r="772" spans="1:10" ht="30.75" thickBot="1" x14ac:dyDescent="0.3">
      <c r="A772" s="8">
        <v>771</v>
      </c>
      <c r="B772" s="9" t="s">
        <v>6</v>
      </c>
      <c r="C772" s="9" t="s">
        <v>500</v>
      </c>
      <c r="D772" s="10">
        <v>44929</v>
      </c>
      <c r="E772" s="21">
        <v>826</v>
      </c>
      <c r="F772" s="11">
        <v>0</v>
      </c>
      <c r="J772" s="16"/>
    </row>
    <row r="773" spans="1:10" ht="15.75" thickBot="1" x14ac:dyDescent="0.3">
      <c r="A773" s="8">
        <v>772</v>
      </c>
      <c r="B773" s="9" t="s">
        <v>8</v>
      </c>
      <c r="C773" s="9" t="s">
        <v>501</v>
      </c>
      <c r="D773" s="10">
        <v>44856</v>
      </c>
      <c r="E773" s="21">
        <v>641</v>
      </c>
      <c r="F773" s="11">
        <v>0</v>
      </c>
      <c r="J773" s="16"/>
    </row>
    <row r="774" spans="1:10" ht="30.75" thickBot="1" x14ac:dyDescent="0.3">
      <c r="A774" s="4">
        <v>773</v>
      </c>
      <c r="B774" s="5" t="s">
        <v>10</v>
      </c>
      <c r="C774" s="5" t="s">
        <v>502</v>
      </c>
      <c r="D774" s="6">
        <v>44690</v>
      </c>
      <c r="E774" s="20">
        <v>805</v>
      </c>
      <c r="F774" s="7">
        <v>0</v>
      </c>
      <c r="J774" s="16"/>
    </row>
    <row r="775" spans="1:10" ht="30.75" thickBot="1" x14ac:dyDescent="0.3">
      <c r="A775" s="4">
        <v>774</v>
      </c>
      <c r="B775" s="5" t="s">
        <v>12</v>
      </c>
      <c r="C775" s="5" t="s">
        <v>503</v>
      </c>
      <c r="D775" s="6">
        <v>44930</v>
      </c>
      <c r="E775" s="20">
        <v>710</v>
      </c>
      <c r="F775" s="7">
        <v>0</v>
      </c>
      <c r="J775" s="16"/>
    </row>
    <row r="776" spans="1:10" ht="30.75" thickBot="1" x14ac:dyDescent="0.3">
      <c r="A776" s="8">
        <v>775</v>
      </c>
      <c r="B776" s="9" t="s">
        <v>14</v>
      </c>
      <c r="C776" s="9" t="s">
        <v>504</v>
      </c>
      <c r="D776" s="10">
        <v>44618</v>
      </c>
      <c r="E776" s="21">
        <v>652</v>
      </c>
      <c r="F776" s="11">
        <v>0</v>
      </c>
      <c r="J776" s="16"/>
    </row>
    <row r="777" spans="1:10" ht="30.75" thickBot="1" x14ac:dyDescent="0.3">
      <c r="A777" s="8">
        <v>776</v>
      </c>
      <c r="B777" s="9" t="s">
        <v>16</v>
      </c>
      <c r="C777" s="9" t="s">
        <v>505</v>
      </c>
      <c r="D777" s="10">
        <v>44798</v>
      </c>
      <c r="E777" s="21">
        <v>642</v>
      </c>
      <c r="F777" s="11">
        <v>0</v>
      </c>
      <c r="J777" s="16"/>
    </row>
    <row r="778" spans="1:10" ht="15.75" thickBot="1" x14ac:dyDescent="0.3">
      <c r="A778" s="4">
        <v>777</v>
      </c>
      <c r="B778" s="5" t="s">
        <v>18</v>
      </c>
      <c r="C778" s="5" t="s">
        <v>506</v>
      </c>
      <c r="D778" s="6">
        <v>44664</v>
      </c>
      <c r="E778" s="20">
        <v>891</v>
      </c>
      <c r="F778" s="7">
        <v>0</v>
      </c>
      <c r="J778" s="16"/>
    </row>
    <row r="779" spans="1:10" ht="15.75" thickBot="1" x14ac:dyDescent="0.3">
      <c r="A779" s="4">
        <v>778</v>
      </c>
      <c r="B779" s="5" t="s">
        <v>20</v>
      </c>
      <c r="C779" s="5" t="s">
        <v>507</v>
      </c>
      <c r="D779" s="6">
        <v>44811</v>
      </c>
      <c r="E779" s="20">
        <v>907</v>
      </c>
      <c r="F779" s="7">
        <v>0</v>
      </c>
      <c r="J779" s="16"/>
    </row>
    <row r="780" spans="1:10" ht="30.75" thickBot="1" x14ac:dyDescent="0.3">
      <c r="A780" s="8">
        <v>779</v>
      </c>
      <c r="B780" s="9" t="s">
        <v>22</v>
      </c>
      <c r="C780" s="9" t="s">
        <v>508</v>
      </c>
      <c r="D780" s="10">
        <v>44772</v>
      </c>
      <c r="E780" s="21">
        <v>469</v>
      </c>
      <c r="F780" s="11">
        <v>0</v>
      </c>
      <c r="J780" s="16"/>
    </row>
    <row r="781" spans="1:10" ht="30.75" thickBot="1" x14ac:dyDescent="0.3">
      <c r="A781" s="8">
        <v>780</v>
      </c>
      <c r="B781" s="9" t="s">
        <v>24</v>
      </c>
      <c r="C781" s="9" t="s">
        <v>509</v>
      </c>
      <c r="D781" s="10">
        <v>44939</v>
      </c>
      <c r="E781" s="21">
        <v>999</v>
      </c>
      <c r="F781" s="11">
        <v>0</v>
      </c>
      <c r="J781" s="16"/>
    </row>
    <row r="782" spans="1:10" ht="30.75" thickBot="1" x14ac:dyDescent="0.3">
      <c r="A782" s="4">
        <v>781</v>
      </c>
      <c r="B782" s="5" t="s">
        <v>6</v>
      </c>
      <c r="C782" s="5" t="s">
        <v>510</v>
      </c>
      <c r="D782" s="6">
        <v>44960</v>
      </c>
      <c r="E782" s="20">
        <v>598</v>
      </c>
      <c r="F782" s="7">
        <v>0</v>
      </c>
      <c r="J782" s="16"/>
    </row>
    <row r="783" spans="1:10" ht="15.75" thickBot="1" x14ac:dyDescent="0.3">
      <c r="A783" s="4">
        <v>782</v>
      </c>
      <c r="B783" s="5" t="s">
        <v>8</v>
      </c>
      <c r="C783" s="5" t="s">
        <v>511</v>
      </c>
      <c r="D783" s="6">
        <v>44649</v>
      </c>
      <c r="E783" s="20">
        <v>611</v>
      </c>
      <c r="F783" s="7">
        <v>0</v>
      </c>
      <c r="J783" s="16"/>
    </row>
    <row r="784" spans="1:10" ht="30.75" thickBot="1" x14ac:dyDescent="0.3">
      <c r="A784" s="8">
        <v>783</v>
      </c>
      <c r="B784" s="9" t="s">
        <v>10</v>
      </c>
      <c r="C784" s="9" t="s">
        <v>512</v>
      </c>
      <c r="D784" s="10">
        <v>44751</v>
      </c>
      <c r="E784" s="21">
        <v>644</v>
      </c>
      <c r="F784" s="11">
        <v>0</v>
      </c>
      <c r="J784" s="16"/>
    </row>
    <row r="785" spans="1:10" ht="30.75" thickBot="1" x14ac:dyDescent="0.3">
      <c r="A785" s="8">
        <v>784</v>
      </c>
      <c r="B785" s="9" t="s">
        <v>12</v>
      </c>
      <c r="C785" s="9" t="s">
        <v>513</v>
      </c>
      <c r="D785" s="10">
        <v>44672</v>
      </c>
      <c r="E785" s="21">
        <v>443</v>
      </c>
      <c r="F785" s="11">
        <v>0</v>
      </c>
      <c r="J785" s="16"/>
    </row>
    <row r="786" spans="1:10" ht="30.75" thickBot="1" x14ac:dyDescent="0.3">
      <c r="A786" s="4">
        <v>785</v>
      </c>
      <c r="B786" s="5" t="s">
        <v>14</v>
      </c>
      <c r="C786" s="5" t="s">
        <v>514</v>
      </c>
      <c r="D786" s="6">
        <v>44645</v>
      </c>
      <c r="E786" s="20">
        <v>621</v>
      </c>
      <c r="F786" s="7">
        <v>0</v>
      </c>
      <c r="J786" s="16"/>
    </row>
    <row r="787" spans="1:10" ht="30.75" thickBot="1" x14ac:dyDescent="0.3">
      <c r="A787" s="4">
        <v>786</v>
      </c>
      <c r="B787" s="5" t="s">
        <v>16</v>
      </c>
      <c r="C787" s="5" t="s">
        <v>515</v>
      </c>
      <c r="D787" s="6">
        <v>44726</v>
      </c>
      <c r="E787" s="20">
        <v>484</v>
      </c>
      <c r="F787" s="7">
        <v>0</v>
      </c>
      <c r="J787" s="16"/>
    </row>
    <row r="788" spans="1:10" ht="15.75" thickBot="1" x14ac:dyDescent="0.3">
      <c r="A788" s="8">
        <v>787</v>
      </c>
      <c r="B788" s="9" t="s">
        <v>18</v>
      </c>
      <c r="C788" s="9" t="s">
        <v>516</v>
      </c>
      <c r="D788" s="10">
        <v>44987</v>
      </c>
      <c r="E788" s="21">
        <v>679</v>
      </c>
      <c r="F788" s="11">
        <v>0</v>
      </c>
      <c r="J788" s="16"/>
    </row>
    <row r="789" spans="1:10" ht="15.75" thickBot="1" x14ac:dyDescent="0.3">
      <c r="A789" s="8">
        <v>788</v>
      </c>
      <c r="B789" s="9" t="s">
        <v>20</v>
      </c>
      <c r="C789" s="9" t="s">
        <v>517</v>
      </c>
      <c r="D789" s="10">
        <v>44743</v>
      </c>
      <c r="E789" s="21">
        <v>762</v>
      </c>
      <c r="F789" s="11">
        <v>0</v>
      </c>
      <c r="J789" s="16"/>
    </row>
    <row r="790" spans="1:10" ht="30.75" thickBot="1" x14ac:dyDescent="0.3">
      <c r="A790" s="4">
        <v>789</v>
      </c>
      <c r="B790" s="5" t="s">
        <v>22</v>
      </c>
      <c r="C790" s="5" t="s">
        <v>518</v>
      </c>
      <c r="D790" s="6">
        <v>44916</v>
      </c>
      <c r="E790" s="20">
        <v>769</v>
      </c>
      <c r="F790" s="7">
        <v>0</v>
      </c>
      <c r="J790" s="16"/>
    </row>
    <row r="791" spans="1:10" ht="30.75" thickBot="1" x14ac:dyDescent="0.3">
      <c r="A791" s="4">
        <v>790</v>
      </c>
      <c r="B791" s="5" t="s">
        <v>24</v>
      </c>
      <c r="C791" s="5" t="s">
        <v>519</v>
      </c>
      <c r="D791" s="6">
        <v>44839</v>
      </c>
      <c r="E791" s="20">
        <v>944</v>
      </c>
      <c r="F791" s="7">
        <v>0</v>
      </c>
      <c r="J791" s="16"/>
    </row>
    <row r="792" spans="1:10" ht="30.75" thickBot="1" x14ac:dyDescent="0.3">
      <c r="A792" s="8">
        <v>791</v>
      </c>
      <c r="B792" s="9" t="s">
        <v>6</v>
      </c>
      <c r="C792" s="9" t="s">
        <v>520</v>
      </c>
      <c r="D792" s="10">
        <v>44834</v>
      </c>
      <c r="E792" s="21">
        <v>672</v>
      </c>
      <c r="F792" s="11">
        <v>0</v>
      </c>
      <c r="J792" s="16"/>
    </row>
    <row r="793" spans="1:10" ht="15.75" thickBot="1" x14ac:dyDescent="0.3">
      <c r="A793" s="8">
        <v>792</v>
      </c>
      <c r="B793" s="9" t="s">
        <v>8</v>
      </c>
      <c r="C793" s="9" t="s">
        <v>521</v>
      </c>
      <c r="D793" s="10">
        <v>44777</v>
      </c>
      <c r="E793" s="21">
        <v>756</v>
      </c>
      <c r="F793" s="11">
        <v>0</v>
      </c>
      <c r="J793" s="16"/>
    </row>
    <row r="794" spans="1:10" ht="30.75" thickBot="1" x14ac:dyDescent="0.3">
      <c r="A794" s="4">
        <v>793</v>
      </c>
      <c r="B794" s="5" t="s">
        <v>10</v>
      </c>
      <c r="C794" s="5" t="s">
        <v>522</v>
      </c>
      <c r="D794" s="6">
        <v>44952</v>
      </c>
      <c r="E794" s="20">
        <v>710</v>
      </c>
      <c r="F794" s="7">
        <v>0</v>
      </c>
      <c r="J794" s="16"/>
    </row>
    <row r="795" spans="1:10" ht="30.75" thickBot="1" x14ac:dyDescent="0.3">
      <c r="A795" s="4">
        <v>794</v>
      </c>
      <c r="B795" s="5" t="s">
        <v>12</v>
      </c>
      <c r="C795" s="5" t="s">
        <v>523</v>
      </c>
      <c r="D795" s="6">
        <v>44783</v>
      </c>
      <c r="E795" s="20">
        <v>536</v>
      </c>
      <c r="F795" s="7">
        <v>0</v>
      </c>
      <c r="J795" s="16"/>
    </row>
    <row r="796" spans="1:10" ht="30.75" thickBot="1" x14ac:dyDescent="0.3">
      <c r="A796" s="8">
        <v>795</v>
      </c>
      <c r="B796" s="9" t="s">
        <v>14</v>
      </c>
      <c r="C796" s="9" t="s">
        <v>524</v>
      </c>
      <c r="D796" s="10">
        <v>44797</v>
      </c>
      <c r="E796" s="21">
        <v>610</v>
      </c>
      <c r="F796" s="11">
        <v>0</v>
      </c>
      <c r="J796" s="16"/>
    </row>
    <row r="797" spans="1:10" ht="30.75" thickBot="1" x14ac:dyDescent="0.3">
      <c r="A797" s="8">
        <v>796</v>
      </c>
      <c r="B797" s="9" t="s">
        <v>16</v>
      </c>
      <c r="C797" s="9" t="s">
        <v>525</v>
      </c>
      <c r="D797" s="10">
        <v>44598</v>
      </c>
      <c r="E797" s="21">
        <v>694</v>
      </c>
      <c r="F797" s="11">
        <v>0</v>
      </c>
      <c r="J797" s="16"/>
    </row>
    <row r="798" spans="1:10" ht="15.75" thickBot="1" x14ac:dyDescent="0.3">
      <c r="A798" s="4">
        <v>797</v>
      </c>
      <c r="B798" s="5" t="s">
        <v>18</v>
      </c>
      <c r="C798" s="5" t="s">
        <v>526</v>
      </c>
      <c r="D798" s="6">
        <v>44922</v>
      </c>
      <c r="E798" s="20">
        <v>531</v>
      </c>
      <c r="F798" s="7">
        <v>0</v>
      </c>
      <c r="J798" s="16"/>
    </row>
    <row r="799" spans="1:10" ht="15.75" thickBot="1" x14ac:dyDescent="0.3">
      <c r="A799" s="4">
        <v>798</v>
      </c>
      <c r="B799" s="5" t="s">
        <v>20</v>
      </c>
      <c r="C799" s="5" t="s">
        <v>527</v>
      </c>
      <c r="D799" s="6">
        <v>44890</v>
      </c>
      <c r="E799" s="20">
        <v>433</v>
      </c>
      <c r="F799" s="7">
        <v>0</v>
      </c>
      <c r="J799" s="16"/>
    </row>
    <row r="800" spans="1:10" ht="30.75" thickBot="1" x14ac:dyDescent="0.3">
      <c r="A800" s="8">
        <v>799</v>
      </c>
      <c r="B800" s="9" t="s">
        <v>22</v>
      </c>
      <c r="C800" s="9" t="s">
        <v>528</v>
      </c>
      <c r="D800" s="10">
        <v>44674</v>
      </c>
      <c r="E800" s="21">
        <v>587</v>
      </c>
      <c r="F800" s="11">
        <v>0</v>
      </c>
      <c r="J800" s="16"/>
    </row>
    <row r="801" spans="1:10" ht="30.75" thickBot="1" x14ac:dyDescent="0.3">
      <c r="A801" s="8">
        <v>800</v>
      </c>
      <c r="B801" s="9" t="s">
        <v>24</v>
      </c>
      <c r="C801" s="9" t="s">
        <v>529</v>
      </c>
      <c r="D801" s="10">
        <v>44922</v>
      </c>
      <c r="E801" s="21">
        <v>567</v>
      </c>
      <c r="F801" s="11">
        <v>0</v>
      </c>
      <c r="J801" s="16"/>
    </row>
    <row r="802" spans="1:10" ht="30.75" thickBot="1" x14ac:dyDescent="0.3">
      <c r="A802" s="4">
        <v>801</v>
      </c>
      <c r="B802" s="5" t="s">
        <v>6</v>
      </c>
      <c r="C802" s="5" t="s">
        <v>530</v>
      </c>
      <c r="D802" s="6">
        <v>44771</v>
      </c>
      <c r="E802" s="20">
        <v>1000</v>
      </c>
      <c r="F802" s="7">
        <v>0</v>
      </c>
      <c r="J802" s="16"/>
    </row>
    <row r="803" spans="1:10" ht="15.75" thickBot="1" x14ac:dyDescent="0.3">
      <c r="A803" s="4">
        <v>802</v>
      </c>
      <c r="B803" s="5" t="s">
        <v>8</v>
      </c>
      <c r="C803" s="5" t="s">
        <v>531</v>
      </c>
      <c r="D803" s="6">
        <v>44585</v>
      </c>
      <c r="E803" s="20">
        <v>937</v>
      </c>
      <c r="F803" s="7">
        <v>0</v>
      </c>
      <c r="J803" s="16"/>
    </row>
    <row r="804" spans="1:10" ht="30.75" thickBot="1" x14ac:dyDescent="0.3">
      <c r="A804" s="8">
        <v>803</v>
      </c>
      <c r="B804" s="9" t="s">
        <v>10</v>
      </c>
      <c r="C804" s="9" t="s">
        <v>532</v>
      </c>
      <c r="D804" s="10">
        <v>45017</v>
      </c>
      <c r="E804" s="21">
        <v>531</v>
      </c>
      <c r="F804" s="11">
        <v>0</v>
      </c>
      <c r="J804" s="16"/>
    </row>
    <row r="805" spans="1:10" ht="30.75" thickBot="1" x14ac:dyDescent="0.3">
      <c r="A805" s="8">
        <v>804</v>
      </c>
      <c r="B805" s="9" t="s">
        <v>12</v>
      </c>
      <c r="C805" s="9" t="s">
        <v>533</v>
      </c>
      <c r="D805" s="10">
        <v>44752</v>
      </c>
      <c r="E805" s="21">
        <v>591</v>
      </c>
      <c r="F805" s="11">
        <v>0</v>
      </c>
      <c r="J805" s="16"/>
    </row>
    <row r="806" spans="1:10" ht="30.75" thickBot="1" x14ac:dyDescent="0.3">
      <c r="A806" s="4">
        <v>805</v>
      </c>
      <c r="B806" s="5" t="s">
        <v>14</v>
      </c>
      <c r="C806" s="5" t="s">
        <v>534</v>
      </c>
      <c r="D806" s="6">
        <v>44792</v>
      </c>
      <c r="E806" s="20">
        <v>470</v>
      </c>
      <c r="F806" s="7">
        <v>0</v>
      </c>
      <c r="J806" s="16"/>
    </row>
    <row r="807" spans="1:10" ht="30.75" thickBot="1" x14ac:dyDescent="0.3">
      <c r="A807" s="4">
        <v>806</v>
      </c>
      <c r="B807" s="5" t="s">
        <v>16</v>
      </c>
      <c r="C807" s="5" t="s">
        <v>535</v>
      </c>
      <c r="D807" s="6">
        <v>44660</v>
      </c>
      <c r="E807" s="20">
        <v>802</v>
      </c>
      <c r="F807" s="7">
        <v>0</v>
      </c>
      <c r="J807" s="16"/>
    </row>
    <row r="808" spans="1:10" ht="15.75" thickBot="1" x14ac:dyDescent="0.3">
      <c r="A808" s="8">
        <v>807</v>
      </c>
      <c r="B808" s="9" t="s">
        <v>18</v>
      </c>
      <c r="C808" s="9" t="s">
        <v>536</v>
      </c>
      <c r="D808" s="10">
        <v>45047</v>
      </c>
      <c r="E808" s="21">
        <v>943</v>
      </c>
      <c r="F808" s="11">
        <v>0</v>
      </c>
      <c r="J808" s="16"/>
    </row>
    <row r="809" spans="1:10" ht="15.75" thickBot="1" x14ac:dyDescent="0.3">
      <c r="A809" s="8">
        <v>808</v>
      </c>
      <c r="B809" s="9" t="s">
        <v>20</v>
      </c>
      <c r="C809" s="9" t="s">
        <v>537</v>
      </c>
      <c r="D809" s="10">
        <v>44822</v>
      </c>
      <c r="E809" s="21">
        <v>561</v>
      </c>
      <c r="F809" s="11">
        <v>0</v>
      </c>
      <c r="J809" s="16"/>
    </row>
    <row r="810" spans="1:10" ht="30.75" thickBot="1" x14ac:dyDescent="0.3">
      <c r="A810" s="4">
        <v>809</v>
      </c>
      <c r="B810" s="5" t="s">
        <v>22</v>
      </c>
      <c r="C810" s="5" t="s">
        <v>538</v>
      </c>
      <c r="D810" s="6">
        <v>44637</v>
      </c>
      <c r="E810" s="20">
        <v>754</v>
      </c>
      <c r="F810" s="7">
        <v>0</v>
      </c>
      <c r="J810" s="16"/>
    </row>
    <row r="811" spans="1:10" ht="30.75" thickBot="1" x14ac:dyDescent="0.3">
      <c r="A811" s="4">
        <v>810</v>
      </c>
      <c r="B811" s="5" t="s">
        <v>24</v>
      </c>
      <c r="C811" s="5" t="s">
        <v>539</v>
      </c>
      <c r="D811" s="6">
        <v>44562</v>
      </c>
      <c r="E811" s="20">
        <v>658</v>
      </c>
      <c r="F811" s="7">
        <v>0</v>
      </c>
      <c r="J811" s="16"/>
    </row>
    <row r="812" spans="1:10" ht="30.75" thickBot="1" x14ac:dyDescent="0.3">
      <c r="A812" s="8">
        <v>811</v>
      </c>
      <c r="B812" s="9" t="s">
        <v>6</v>
      </c>
      <c r="C812" s="9" t="s">
        <v>540</v>
      </c>
      <c r="D812" s="10">
        <v>44894</v>
      </c>
      <c r="E812" s="21">
        <v>874</v>
      </c>
      <c r="F812" s="11">
        <v>0</v>
      </c>
      <c r="J812" s="16"/>
    </row>
    <row r="813" spans="1:10" ht="15.75" thickBot="1" x14ac:dyDescent="0.3">
      <c r="A813" s="8">
        <v>812</v>
      </c>
      <c r="B813" s="9" t="s">
        <v>8</v>
      </c>
      <c r="C813" s="9" t="s">
        <v>541</v>
      </c>
      <c r="D813" s="10">
        <v>44961</v>
      </c>
      <c r="E813" s="21">
        <v>852</v>
      </c>
      <c r="F813" s="11">
        <v>0</v>
      </c>
      <c r="J813" s="16"/>
    </row>
    <row r="814" spans="1:10" ht="30.75" thickBot="1" x14ac:dyDescent="0.3">
      <c r="A814" s="4">
        <v>813</v>
      </c>
      <c r="B814" s="5" t="s">
        <v>10</v>
      </c>
      <c r="C814" s="5" t="s">
        <v>542</v>
      </c>
      <c r="D814" s="6">
        <v>44890</v>
      </c>
      <c r="E814" s="20">
        <v>636</v>
      </c>
      <c r="F814" s="7">
        <v>0</v>
      </c>
      <c r="J814" s="16"/>
    </row>
    <row r="815" spans="1:10" ht="30.75" thickBot="1" x14ac:dyDescent="0.3">
      <c r="A815" s="4">
        <v>814</v>
      </c>
      <c r="B815" s="5" t="s">
        <v>12</v>
      </c>
      <c r="C815" s="5" t="s">
        <v>543</v>
      </c>
      <c r="D815" s="6">
        <v>44996</v>
      </c>
      <c r="E815" s="20">
        <v>900</v>
      </c>
      <c r="F815" s="7">
        <v>0</v>
      </c>
      <c r="J815" s="16"/>
    </row>
    <row r="816" spans="1:10" ht="30.75" thickBot="1" x14ac:dyDescent="0.3">
      <c r="A816" s="8">
        <v>815</v>
      </c>
      <c r="B816" s="9" t="s">
        <v>14</v>
      </c>
      <c r="C816" s="9" t="s">
        <v>544</v>
      </c>
      <c r="D816" s="10">
        <v>44726</v>
      </c>
      <c r="E816" s="21">
        <v>704</v>
      </c>
      <c r="F816" s="11">
        <v>0</v>
      </c>
      <c r="J816" s="16"/>
    </row>
    <row r="817" spans="1:10" ht="30.75" thickBot="1" x14ac:dyDescent="0.3">
      <c r="A817" s="8">
        <v>816</v>
      </c>
      <c r="B817" s="9" t="s">
        <v>16</v>
      </c>
      <c r="C817" s="9" t="s">
        <v>545</v>
      </c>
      <c r="D817" s="10">
        <v>45047</v>
      </c>
      <c r="E817" s="21">
        <v>585</v>
      </c>
      <c r="F817" s="11">
        <v>0</v>
      </c>
      <c r="J817" s="16"/>
    </row>
    <row r="818" spans="1:10" ht="15.75" thickBot="1" x14ac:dyDescent="0.3">
      <c r="A818" s="4">
        <v>817</v>
      </c>
      <c r="B818" s="5" t="s">
        <v>18</v>
      </c>
      <c r="C818" s="5" t="s">
        <v>546</v>
      </c>
      <c r="D818" s="6">
        <v>44890</v>
      </c>
      <c r="E818" s="20">
        <v>462</v>
      </c>
      <c r="F818" s="7">
        <v>0</v>
      </c>
      <c r="J818" s="16"/>
    </row>
    <row r="819" spans="1:10" ht="15.75" thickBot="1" x14ac:dyDescent="0.3">
      <c r="A819" s="4">
        <v>818</v>
      </c>
      <c r="B819" s="5" t="s">
        <v>20</v>
      </c>
      <c r="C819" s="5" t="s">
        <v>547</v>
      </c>
      <c r="D819" s="6">
        <v>44800</v>
      </c>
      <c r="E819" s="20">
        <v>997</v>
      </c>
      <c r="F819" s="7">
        <v>0</v>
      </c>
      <c r="J819" s="16"/>
    </row>
    <row r="820" spans="1:10" ht="30.75" thickBot="1" x14ac:dyDescent="0.3">
      <c r="A820" s="8">
        <v>819</v>
      </c>
      <c r="B820" s="9" t="s">
        <v>22</v>
      </c>
      <c r="C820" s="9" t="s">
        <v>548</v>
      </c>
      <c r="D820" s="10">
        <v>44903</v>
      </c>
      <c r="E820" s="21">
        <v>541</v>
      </c>
      <c r="F820" s="11">
        <v>0</v>
      </c>
      <c r="J820" s="16"/>
    </row>
    <row r="821" spans="1:10" ht="30.75" thickBot="1" x14ac:dyDescent="0.3">
      <c r="A821" s="8">
        <v>820</v>
      </c>
      <c r="B821" s="9" t="s">
        <v>24</v>
      </c>
      <c r="C821" s="9" t="s">
        <v>549</v>
      </c>
      <c r="D821" s="10">
        <v>44900</v>
      </c>
      <c r="E821" s="21">
        <v>868</v>
      </c>
      <c r="F821" s="11">
        <v>0</v>
      </c>
      <c r="J821" s="16"/>
    </row>
    <row r="822" spans="1:10" ht="30.75" thickBot="1" x14ac:dyDescent="0.3">
      <c r="A822" s="4">
        <v>821</v>
      </c>
      <c r="B822" s="5" t="s">
        <v>6</v>
      </c>
      <c r="C822" s="5" t="s">
        <v>550</v>
      </c>
      <c r="D822" s="6">
        <v>44753</v>
      </c>
      <c r="E822" s="20">
        <v>712</v>
      </c>
      <c r="F822" s="7">
        <v>0</v>
      </c>
      <c r="J822" s="16"/>
    </row>
    <row r="823" spans="1:10" ht="15.75" thickBot="1" x14ac:dyDescent="0.3">
      <c r="A823" s="4">
        <v>822</v>
      </c>
      <c r="B823" s="5" t="s">
        <v>8</v>
      </c>
      <c r="C823" s="5" t="s">
        <v>551</v>
      </c>
      <c r="D823" s="6">
        <v>44793</v>
      </c>
      <c r="E823" s="20">
        <v>820</v>
      </c>
      <c r="F823" s="7">
        <v>0</v>
      </c>
      <c r="J823" s="16"/>
    </row>
    <row r="824" spans="1:10" ht="30.75" thickBot="1" x14ac:dyDescent="0.3">
      <c r="A824" s="8">
        <v>823</v>
      </c>
      <c r="B824" s="9" t="s">
        <v>10</v>
      </c>
      <c r="C824" s="9" t="s">
        <v>552</v>
      </c>
      <c r="D824" s="10">
        <v>44732</v>
      </c>
      <c r="E824" s="21">
        <v>946</v>
      </c>
      <c r="F824" s="11">
        <v>0</v>
      </c>
      <c r="J824" s="16"/>
    </row>
    <row r="825" spans="1:10" ht="30.75" thickBot="1" x14ac:dyDescent="0.3">
      <c r="A825" s="8">
        <v>824</v>
      </c>
      <c r="B825" s="9" t="s">
        <v>12</v>
      </c>
      <c r="C825" s="9" t="s">
        <v>553</v>
      </c>
      <c r="D825" s="10">
        <v>44939</v>
      </c>
      <c r="E825" s="21">
        <v>564</v>
      </c>
      <c r="F825" s="11">
        <v>0</v>
      </c>
      <c r="J825" s="16"/>
    </row>
    <row r="826" spans="1:10" ht="30.75" thickBot="1" x14ac:dyDescent="0.3">
      <c r="A826" s="4">
        <v>825</v>
      </c>
      <c r="B826" s="5" t="s">
        <v>14</v>
      </c>
      <c r="C826" s="5" t="s">
        <v>554</v>
      </c>
      <c r="D826" s="6">
        <v>44891</v>
      </c>
      <c r="E826" s="20">
        <v>567</v>
      </c>
      <c r="F826" s="7">
        <v>0</v>
      </c>
      <c r="J826" s="16"/>
    </row>
    <row r="827" spans="1:10" ht="30.75" thickBot="1" x14ac:dyDescent="0.3">
      <c r="A827" s="4">
        <v>826</v>
      </c>
      <c r="B827" s="5" t="s">
        <v>16</v>
      </c>
      <c r="C827" s="5" t="s">
        <v>555</v>
      </c>
      <c r="D827" s="6">
        <v>44902</v>
      </c>
      <c r="E827" s="20">
        <v>835</v>
      </c>
      <c r="F827" s="7">
        <v>0</v>
      </c>
      <c r="J827" s="16"/>
    </row>
    <row r="828" spans="1:10" ht="15.75" thickBot="1" x14ac:dyDescent="0.3">
      <c r="A828" s="8">
        <v>827</v>
      </c>
      <c r="B828" s="9" t="s">
        <v>18</v>
      </c>
      <c r="C828" s="9" t="s">
        <v>556</v>
      </c>
      <c r="D828" s="10">
        <v>44772</v>
      </c>
      <c r="E828" s="21">
        <v>554</v>
      </c>
      <c r="F828" s="11">
        <v>0</v>
      </c>
      <c r="J828" s="16"/>
    </row>
    <row r="829" spans="1:10" ht="15.75" thickBot="1" x14ac:dyDescent="0.3">
      <c r="A829" s="8">
        <v>828</v>
      </c>
      <c r="B829" s="9" t="s">
        <v>20</v>
      </c>
      <c r="C829" s="9" t="s">
        <v>557</v>
      </c>
      <c r="D829" s="10">
        <v>44983</v>
      </c>
      <c r="E829" s="21">
        <v>820</v>
      </c>
      <c r="F829" s="11">
        <v>0</v>
      </c>
      <c r="J829" s="16"/>
    </row>
    <row r="830" spans="1:10" ht="30.75" thickBot="1" x14ac:dyDescent="0.3">
      <c r="A830" s="4">
        <v>829</v>
      </c>
      <c r="B830" s="5" t="s">
        <v>22</v>
      </c>
      <c r="C830" s="5" t="s">
        <v>558</v>
      </c>
      <c r="D830" s="6">
        <v>44900</v>
      </c>
      <c r="E830" s="20">
        <v>600</v>
      </c>
      <c r="F830" s="7">
        <v>0</v>
      </c>
      <c r="J830" s="16"/>
    </row>
    <row r="831" spans="1:10" ht="30.75" thickBot="1" x14ac:dyDescent="0.3">
      <c r="A831" s="4">
        <v>830</v>
      </c>
      <c r="B831" s="5" t="s">
        <v>24</v>
      </c>
      <c r="C831" s="5" t="s">
        <v>559</v>
      </c>
      <c r="D831" s="6">
        <v>44977</v>
      </c>
      <c r="E831" s="20">
        <v>705</v>
      </c>
      <c r="F831" s="7">
        <v>0</v>
      </c>
      <c r="J831" s="16"/>
    </row>
    <row r="832" spans="1:10" ht="30.75" thickBot="1" x14ac:dyDescent="0.3">
      <c r="A832" s="8">
        <v>831</v>
      </c>
      <c r="B832" s="9" t="s">
        <v>6</v>
      </c>
      <c r="C832" s="9" t="s">
        <v>560</v>
      </c>
      <c r="D832" s="10">
        <v>44762</v>
      </c>
      <c r="E832" s="21">
        <v>505</v>
      </c>
      <c r="F832" s="11">
        <v>0</v>
      </c>
      <c r="J832" s="16"/>
    </row>
    <row r="833" spans="1:10" ht="15.75" thickBot="1" x14ac:dyDescent="0.3">
      <c r="A833" s="8">
        <v>832</v>
      </c>
      <c r="B833" s="9" t="s">
        <v>8</v>
      </c>
      <c r="C833" s="9" t="s">
        <v>561</v>
      </c>
      <c r="D833" s="10">
        <v>45011</v>
      </c>
      <c r="E833" s="21">
        <v>633</v>
      </c>
      <c r="F833" s="11">
        <v>0</v>
      </c>
      <c r="J833" s="16"/>
    </row>
    <row r="834" spans="1:10" ht="30.75" thickBot="1" x14ac:dyDescent="0.3">
      <c r="A834" s="4">
        <v>833</v>
      </c>
      <c r="B834" s="5" t="s">
        <v>10</v>
      </c>
      <c r="C834" s="5" t="s">
        <v>562</v>
      </c>
      <c r="D834" s="6">
        <v>45015</v>
      </c>
      <c r="E834" s="20">
        <v>479</v>
      </c>
      <c r="F834" s="7">
        <v>0</v>
      </c>
      <c r="J834" s="16"/>
    </row>
    <row r="835" spans="1:10" ht="30.75" thickBot="1" x14ac:dyDescent="0.3">
      <c r="A835" s="4">
        <v>834</v>
      </c>
      <c r="B835" s="5" t="s">
        <v>12</v>
      </c>
      <c r="C835" s="5" t="s">
        <v>563</v>
      </c>
      <c r="D835" s="6">
        <v>44816</v>
      </c>
      <c r="E835" s="20">
        <v>797</v>
      </c>
      <c r="F835" s="7">
        <v>0</v>
      </c>
      <c r="J835" s="16"/>
    </row>
    <row r="836" spans="1:10" ht="30.75" thickBot="1" x14ac:dyDescent="0.3">
      <c r="A836" s="8">
        <v>835</v>
      </c>
      <c r="B836" s="9" t="s">
        <v>14</v>
      </c>
      <c r="C836" s="9" t="s">
        <v>564</v>
      </c>
      <c r="D836" s="10">
        <v>44655</v>
      </c>
      <c r="E836" s="21">
        <v>940</v>
      </c>
      <c r="F836" s="11">
        <v>0</v>
      </c>
      <c r="J836" s="16"/>
    </row>
    <row r="837" spans="1:10" ht="30.75" thickBot="1" x14ac:dyDescent="0.3">
      <c r="A837" s="8">
        <v>836</v>
      </c>
      <c r="B837" s="9" t="s">
        <v>16</v>
      </c>
      <c r="C837" s="9" t="s">
        <v>565</v>
      </c>
      <c r="D837" s="10">
        <v>44933</v>
      </c>
      <c r="E837" s="21">
        <v>615</v>
      </c>
      <c r="F837" s="11">
        <v>0</v>
      </c>
      <c r="J837" s="16"/>
    </row>
    <row r="838" spans="1:10" ht="15.75" thickBot="1" x14ac:dyDescent="0.3">
      <c r="A838" s="4">
        <v>837</v>
      </c>
      <c r="B838" s="5" t="s">
        <v>18</v>
      </c>
      <c r="C838" s="5" t="s">
        <v>566</v>
      </c>
      <c r="D838" s="6">
        <v>44963</v>
      </c>
      <c r="E838" s="20">
        <v>533</v>
      </c>
      <c r="F838" s="7">
        <v>0</v>
      </c>
      <c r="J838" s="16"/>
    </row>
    <row r="839" spans="1:10" ht="15.75" thickBot="1" x14ac:dyDescent="0.3">
      <c r="A839" s="4">
        <v>838</v>
      </c>
      <c r="B839" s="5" t="s">
        <v>20</v>
      </c>
      <c r="C839" s="5" t="s">
        <v>567</v>
      </c>
      <c r="D839" s="6">
        <v>44818</v>
      </c>
      <c r="E839" s="20">
        <v>569</v>
      </c>
      <c r="F839" s="7">
        <v>0</v>
      </c>
      <c r="J839" s="16"/>
    </row>
    <row r="840" spans="1:10" ht="30.75" thickBot="1" x14ac:dyDescent="0.3">
      <c r="A840" s="8">
        <v>839</v>
      </c>
      <c r="B840" s="9" t="s">
        <v>22</v>
      </c>
      <c r="C840" s="9" t="s">
        <v>568</v>
      </c>
      <c r="D840" s="10">
        <v>44893</v>
      </c>
      <c r="E840" s="21">
        <v>458</v>
      </c>
      <c r="F840" s="11">
        <v>0</v>
      </c>
      <c r="J840" s="16"/>
    </row>
    <row r="841" spans="1:10" ht="30.75" thickBot="1" x14ac:dyDescent="0.3">
      <c r="A841" s="8">
        <v>840</v>
      </c>
      <c r="B841" s="9" t="s">
        <v>24</v>
      </c>
      <c r="C841" s="9" t="s">
        <v>569</v>
      </c>
      <c r="D841" s="10">
        <v>44728</v>
      </c>
      <c r="E841" s="21">
        <v>816</v>
      </c>
      <c r="F841" s="11">
        <v>0</v>
      </c>
      <c r="J841" s="16"/>
    </row>
    <row r="842" spans="1:10" ht="30.75" thickBot="1" x14ac:dyDescent="0.3">
      <c r="A842" s="4">
        <v>841</v>
      </c>
      <c r="B842" s="5" t="s">
        <v>6</v>
      </c>
      <c r="C842" s="5" t="s">
        <v>570</v>
      </c>
      <c r="D842" s="6">
        <v>44794</v>
      </c>
      <c r="E842" s="20">
        <v>474</v>
      </c>
      <c r="F842" s="7">
        <v>0</v>
      </c>
      <c r="J842" s="16"/>
    </row>
    <row r="843" spans="1:10" ht="15.75" thickBot="1" x14ac:dyDescent="0.3">
      <c r="A843" s="4">
        <v>842</v>
      </c>
      <c r="B843" s="5" t="s">
        <v>8</v>
      </c>
      <c r="C843" s="5" t="s">
        <v>571</v>
      </c>
      <c r="D843" s="6">
        <v>44845</v>
      </c>
      <c r="E843" s="20">
        <v>534</v>
      </c>
      <c r="F843" s="7">
        <v>0</v>
      </c>
      <c r="J843" s="16"/>
    </row>
    <row r="844" spans="1:10" ht="30.75" thickBot="1" x14ac:dyDescent="0.3">
      <c r="A844" s="8">
        <v>843</v>
      </c>
      <c r="B844" s="9" t="s">
        <v>10</v>
      </c>
      <c r="C844" s="9" t="s">
        <v>572</v>
      </c>
      <c r="D844" s="10">
        <v>45012</v>
      </c>
      <c r="E844" s="21">
        <v>726</v>
      </c>
      <c r="F844" s="11">
        <v>0</v>
      </c>
      <c r="J844" s="16"/>
    </row>
    <row r="845" spans="1:10" ht="30.75" thickBot="1" x14ac:dyDescent="0.3">
      <c r="A845" s="8">
        <v>844</v>
      </c>
      <c r="B845" s="9" t="s">
        <v>12</v>
      </c>
      <c r="C845" s="9" t="s">
        <v>573</v>
      </c>
      <c r="D845" s="10">
        <v>44654</v>
      </c>
      <c r="E845" s="21">
        <v>747</v>
      </c>
      <c r="F845" s="11">
        <v>0</v>
      </c>
      <c r="J845" s="16"/>
    </row>
    <row r="846" spans="1:10" ht="30.75" thickBot="1" x14ac:dyDescent="0.3">
      <c r="A846" s="4">
        <v>845</v>
      </c>
      <c r="B846" s="5" t="s">
        <v>14</v>
      </c>
      <c r="C846" s="5" t="s">
        <v>574</v>
      </c>
      <c r="D846" s="6">
        <v>44823</v>
      </c>
      <c r="E846" s="20">
        <v>694</v>
      </c>
      <c r="F846" s="7">
        <v>0</v>
      </c>
      <c r="J846" s="16"/>
    </row>
    <row r="847" spans="1:10" ht="30.75" thickBot="1" x14ac:dyDescent="0.3">
      <c r="A847" s="4">
        <v>846</v>
      </c>
      <c r="B847" s="5" t="s">
        <v>16</v>
      </c>
      <c r="C847" s="5" t="s">
        <v>575</v>
      </c>
      <c r="D847" s="6">
        <v>44931</v>
      </c>
      <c r="E847" s="20">
        <v>553</v>
      </c>
      <c r="F847" s="7">
        <v>0</v>
      </c>
      <c r="J847" s="16"/>
    </row>
    <row r="848" spans="1:10" ht="15.75" thickBot="1" x14ac:dyDescent="0.3">
      <c r="A848" s="8">
        <v>847</v>
      </c>
      <c r="B848" s="9" t="s">
        <v>18</v>
      </c>
      <c r="C848" s="9" t="s">
        <v>576</v>
      </c>
      <c r="D848" s="10">
        <v>44732</v>
      </c>
      <c r="E848" s="21">
        <v>922</v>
      </c>
      <c r="F848" s="11">
        <v>0</v>
      </c>
      <c r="J848" s="16"/>
    </row>
    <row r="849" spans="1:10" ht="15.75" thickBot="1" x14ac:dyDescent="0.3">
      <c r="A849" s="8">
        <v>848</v>
      </c>
      <c r="B849" s="9" t="s">
        <v>20</v>
      </c>
      <c r="C849" s="9" t="s">
        <v>577</v>
      </c>
      <c r="D849" s="10">
        <v>44906</v>
      </c>
      <c r="E849" s="21">
        <v>652</v>
      </c>
      <c r="F849" s="11">
        <v>0</v>
      </c>
      <c r="J849" s="16"/>
    </row>
    <row r="850" spans="1:10" ht="30.75" thickBot="1" x14ac:dyDescent="0.3">
      <c r="A850" s="4">
        <v>849</v>
      </c>
      <c r="B850" s="5" t="s">
        <v>22</v>
      </c>
      <c r="C850" s="5" t="s">
        <v>578</v>
      </c>
      <c r="D850" s="6">
        <v>44797</v>
      </c>
      <c r="E850" s="20">
        <v>601</v>
      </c>
      <c r="F850" s="7">
        <v>0</v>
      </c>
      <c r="J850" s="16"/>
    </row>
    <row r="851" spans="1:10" ht="30.75" thickBot="1" x14ac:dyDescent="0.3">
      <c r="A851" s="4">
        <v>850</v>
      </c>
      <c r="B851" s="5" t="s">
        <v>24</v>
      </c>
      <c r="C851" s="5" t="s">
        <v>579</v>
      </c>
      <c r="D851" s="6">
        <v>44673</v>
      </c>
      <c r="E851" s="20">
        <v>542</v>
      </c>
      <c r="F851" s="7">
        <v>0</v>
      </c>
      <c r="J851" s="16"/>
    </row>
    <row r="852" spans="1:10" ht="30.75" thickBot="1" x14ac:dyDescent="0.3">
      <c r="A852" s="8">
        <v>851</v>
      </c>
      <c r="B852" s="9" t="s">
        <v>6</v>
      </c>
      <c r="C852" s="9" t="s">
        <v>580</v>
      </c>
      <c r="D852" s="10">
        <v>44821</v>
      </c>
      <c r="E852" s="21">
        <v>798</v>
      </c>
      <c r="F852" s="11">
        <v>0</v>
      </c>
      <c r="J852" s="16"/>
    </row>
    <row r="853" spans="1:10" ht="15.75" thickBot="1" x14ac:dyDescent="0.3">
      <c r="A853" s="8">
        <v>852</v>
      </c>
      <c r="B853" s="9" t="s">
        <v>8</v>
      </c>
      <c r="C853" s="9" t="s">
        <v>581</v>
      </c>
      <c r="D853" s="10">
        <v>44735</v>
      </c>
      <c r="E853" s="21">
        <v>835</v>
      </c>
      <c r="F853" s="11">
        <v>0</v>
      </c>
      <c r="J853" s="16"/>
    </row>
    <row r="854" spans="1:10" ht="30.75" thickBot="1" x14ac:dyDescent="0.3">
      <c r="A854" s="4">
        <v>853</v>
      </c>
      <c r="B854" s="5" t="s">
        <v>10</v>
      </c>
      <c r="C854" s="5" t="s">
        <v>582</v>
      </c>
      <c r="D854" s="6">
        <v>44667</v>
      </c>
      <c r="E854" s="20">
        <v>839</v>
      </c>
      <c r="F854" s="7">
        <v>0</v>
      </c>
      <c r="J854" s="16"/>
    </row>
    <row r="855" spans="1:10" ht="30.75" thickBot="1" x14ac:dyDescent="0.3">
      <c r="A855" s="4">
        <v>854</v>
      </c>
      <c r="B855" s="5" t="s">
        <v>12</v>
      </c>
      <c r="C855" s="5" t="s">
        <v>583</v>
      </c>
      <c r="D855" s="6">
        <v>45012</v>
      </c>
      <c r="E855" s="20">
        <v>751</v>
      </c>
      <c r="F855" s="7">
        <v>0</v>
      </c>
      <c r="J855" s="16"/>
    </row>
    <row r="856" spans="1:10" ht="30.75" thickBot="1" x14ac:dyDescent="0.3">
      <c r="A856" s="8">
        <v>855</v>
      </c>
      <c r="B856" s="9" t="s">
        <v>14</v>
      </c>
      <c r="C856" s="9" t="s">
        <v>584</v>
      </c>
      <c r="D856" s="10">
        <v>44986</v>
      </c>
      <c r="E856" s="21">
        <v>731</v>
      </c>
      <c r="F856" s="11">
        <v>0</v>
      </c>
      <c r="J856" s="16"/>
    </row>
    <row r="857" spans="1:10" ht="30.75" thickBot="1" x14ac:dyDescent="0.3">
      <c r="A857" s="8">
        <v>856</v>
      </c>
      <c r="B857" s="9" t="s">
        <v>16</v>
      </c>
      <c r="C857" s="9" t="s">
        <v>585</v>
      </c>
      <c r="D857" s="10">
        <v>44713</v>
      </c>
      <c r="E857" s="21">
        <v>456</v>
      </c>
      <c r="F857" s="11">
        <v>0</v>
      </c>
      <c r="J857" s="16"/>
    </row>
    <row r="858" spans="1:10" ht="15.75" thickBot="1" x14ac:dyDescent="0.3">
      <c r="A858" s="4">
        <v>857</v>
      </c>
      <c r="B858" s="5" t="s">
        <v>18</v>
      </c>
      <c r="C858" s="5" t="s">
        <v>586</v>
      </c>
      <c r="D858" s="6">
        <v>44695</v>
      </c>
      <c r="E858" s="20">
        <v>422</v>
      </c>
      <c r="F858" s="7">
        <v>0</v>
      </c>
      <c r="J858" s="16"/>
    </row>
    <row r="859" spans="1:10" ht="15.75" thickBot="1" x14ac:dyDescent="0.3">
      <c r="A859" s="4">
        <v>858</v>
      </c>
      <c r="B859" s="5" t="s">
        <v>20</v>
      </c>
      <c r="C859" s="5" t="s">
        <v>587</v>
      </c>
      <c r="D859" s="6">
        <v>44868</v>
      </c>
      <c r="E859" s="20">
        <v>662</v>
      </c>
      <c r="F859" s="7">
        <v>0</v>
      </c>
      <c r="J859" s="16"/>
    </row>
    <row r="860" spans="1:10" ht="30.75" thickBot="1" x14ac:dyDescent="0.3">
      <c r="A860" s="8">
        <v>859</v>
      </c>
      <c r="B860" s="9" t="s">
        <v>22</v>
      </c>
      <c r="C860" s="9" t="s">
        <v>588</v>
      </c>
      <c r="D860" s="10">
        <v>44930</v>
      </c>
      <c r="E860" s="21">
        <v>446</v>
      </c>
      <c r="F860" s="11">
        <v>0</v>
      </c>
      <c r="J860" s="16"/>
    </row>
    <row r="861" spans="1:10" ht="30.75" thickBot="1" x14ac:dyDescent="0.3">
      <c r="A861" s="8">
        <v>860</v>
      </c>
      <c r="B861" s="9" t="s">
        <v>24</v>
      </c>
      <c r="C861" s="9" t="s">
        <v>589</v>
      </c>
      <c r="D861" s="10">
        <v>44895</v>
      </c>
      <c r="E861" s="21">
        <v>899</v>
      </c>
      <c r="F861" s="11">
        <v>0</v>
      </c>
      <c r="J861" s="16"/>
    </row>
    <row r="862" spans="1:10" ht="30.75" thickBot="1" x14ac:dyDescent="0.3">
      <c r="A862" s="4">
        <v>861</v>
      </c>
      <c r="B862" s="5" t="s">
        <v>6</v>
      </c>
      <c r="C862" s="5" t="s">
        <v>590</v>
      </c>
      <c r="D862" s="6">
        <v>44825</v>
      </c>
      <c r="E862" s="20">
        <v>967</v>
      </c>
      <c r="F862" s="7">
        <v>0</v>
      </c>
      <c r="J862" s="16"/>
    </row>
    <row r="863" spans="1:10" ht="15.75" thickBot="1" x14ac:dyDescent="0.3">
      <c r="A863" s="4">
        <v>862</v>
      </c>
      <c r="B863" s="5" t="s">
        <v>8</v>
      </c>
      <c r="C863" s="5" t="s">
        <v>591</v>
      </c>
      <c r="D863" s="6">
        <v>44625</v>
      </c>
      <c r="E863" s="20">
        <v>753</v>
      </c>
      <c r="F863" s="7">
        <v>0</v>
      </c>
      <c r="J863" s="16"/>
    </row>
    <row r="864" spans="1:10" ht="30.75" thickBot="1" x14ac:dyDescent="0.3">
      <c r="A864" s="8">
        <v>863</v>
      </c>
      <c r="B864" s="9" t="s">
        <v>10</v>
      </c>
      <c r="C864" s="9" t="s">
        <v>592</v>
      </c>
      <c r="D864" s="10">
        <v>44748</v>
      </c>
      <c r="E864" s="21">
        <v>995</v>
      </c>
      <c r="F864" s="11">
        <v>0</v>
      </c>
      <c r="J864" s="16"/>
    </row>
    <row r="865" spans="1:10" ht="30.75" thickBot="1" x14ac:dyDescent="0.3">
      <c r="A865" s="8">
        <v>864</v>
      </c>
      <c r="B865" s="9" t="s">
        <v>12</v>
      </c>
      <c r="C865" s="9" t="s">
        <v>593</v>
      </c>
      <c r="D865" s="10">
        <v>44905</v>
      </c>
      <c r="E865" s="21">
        <v>735</v>
      </c>
      <c r="F865" s="11">
        <v>0</v>
      </c>
      <c r="J865" s="16"/>
    </row>
    <row r="866" spans="1:10" ht="30.75" thickBot="1" x14ac:dyDescent="0.3">
      <c r="A866" s="4">
        <v>865</v>
      </c>
      <c r="B866" s="5" t="s">
        <v>14</v>
      </c>
      <c r="C866" s="5" t="s">
        <v>594</v>
      </c>
      <c r="D866" s="6">
        <v>44974</v>
      </c>
      <c r="E866" s="20">
        <v>703</v>
      </c>
      <c r="F866" s="7">
        <v>0</v>
      </c>
      <c r="J866" s="16"/>
    </row>
    <row r="867" spans="1:10" ht="30.75" thickBot="1" x14ac:dyDescent="0.3">
      <c r="A867" s="4">
        <v>866</v>
      </c>
      <c r="B867" s="5" t="s">
        <v>16</v>
      </c>
      <c r="C867" s="5" t="s">
        <v>595</v>
      </c>
      <c r="D867" s="6">
        <v>44938</v>
      </c>
      <c r="E867" s="20">
        <v>450</v>
      </c>
      <c r="F867" s="7">
        <v>0</v>
      </c>
      <c r="J867" s="16"/>
    </row>
    <row r="868" spans="1:10" ht="15.75" thickBot="1" x14ac:dyDescent="0.3">
      <c r="A868" s="8">
        <v>867</v>
      </c>
      <c r="B868" s="9" t="s">
        <v>18</v>
      </c>
      <c r="C868" s="9" t="s">
        <v>596</v>
      </c>
      <c r="D868" s="10">
        <v>44733</v>
      </c>
      <c r="E868" s="21">
        <v>721</v>
      </c>
      <c r="F868" s="11">
        <v>0</v>
      </c>
      <c r="J868" s="16"/>
    </row>
    <row r="869" spans="1:10" ht="15.75" thickBot="1" x14ac:dyDescent="0.3">
      <c r="A869" s="8">
        <v>868</v>
      </c>
      <c r="B869" s="9" t="s">
        <v>20</v>
      </c>
      <c r="C869" s="9" t="s">
        <v>597</v>
      </c>
      <c r="D869" s="10">
        <v>44967</v>
      </c>
      <c r="E869" s="21">
        <v>645</v>
      </c>
      <c r="F869" s="11">
        <v>0</v>
      </c>
      <c r="J869" s="16"/>
    </row>
    <row r="870" spans="1:10" ht="30.75" thickBot="1" x14ac:dyDescent="0.3">
      <c r="A870" s="4">
        <v>869</v>
      </c>
      <c r="B870" s="5" t="s">
        <v>22</v>
      </c>
      <c r="C870" s="5" t="s">
        <v>598</v>
      </c>
      <c r="D870" s="6">
        <v>44845</v>
      </c>
      <c r="E870" s="20">
        <v>610</v>
      </c>
      <c r="F870" s="7">
        <v>0</v>
      </c>
      <c r="J870" s="16"/>
    </row>
    <row r="871" spans="1:10" ht="30.75" thickBot="1" x14ac:dyDescent="0.3">
      <c r="A871" s="4">
        <v>870</v>
      </c>
      <c r="B871" s="5" t="s">
        <v>24</v>
      </c>
      <c r="C871" s="5" t="s">
        <v>599</v>
      </c>
      <c r="D871" s="6">
        <v>44715</v>
      </c>
      <c r="E871" s="20">
        <v>734</v>
      </c>
      <c r="F871" s="7">
        <v>0</v>
      </c>
      <c r="J871" s="16"/>
    </row>
    <row r="872" spans="1:10" ht="30.75" thickBot="1" x14ac:dyDescent="0.3">
      <c r="A872" s="8">
        <v>871</v>
      </c>
      <c r="B872" s="9" t="s">
        <v>6</v>
      </c>
      <c r="C872" s="9" t="s">
        <v>600</v>
      </c>
      <c r="D872" s="10">
        <v>44929</v>
      </c>
      <c r="E872" s="21">
        <v>718</v>
      </c>
      <c r="F872" s="11">
        <v>0</v>
      </c>
      <c r="J872" s="16"/>
    </row>
    <row r="873" spans="1:10" ht="15.75" thickBot="1" x14ac:dyDescent="0.3">
      <c r="A873" s="8">
        <v>872</v>
      </c>
      <c r="B873" s="9" t="s">
        <v>8</v>
      </c>
      <c r="C873" s="9" t="s">
        <v>601</v>
      </c>
      <c r="D873" s="10">
        <v>44856</v>
      </c>
      <c r="E873" s="21">
        <v>800</v>
      </c>
      <c r="F873" s="11">
        <v>0</v>
      </c>
      <c r="J873" s="16"/>
    </row>
    <row r="874" spans="1:10" ht="30.75" thickBot="1" x14ac:dyDescent="0.3">
      <c r="A874" s="4">
        <v>873</v>
      </c>
      <c r="B874" s="5" t="s">
        <v>10</v>
      </c>
      <c r="C874" s="5" t="s">
        <v>602</v>
      </c>
      <c r="D874" s="6">
        <v>44690</v>
      </c>
      <c r="E874" s="20">
        <v>583</v>
      </c>
      <c r="F874" s="7">
        <v>0</v>
      </c>
      <c r="J874" s="16"/>
    </row>
    <row r="875" spans="1:10" ht="30.75" thickBot="1" x14ac:dyDescent="0.3">
      <c r="A875" s="4">
        <v>874</v>
      </c>
      <c r="B875" s="5" t="s">
        <v>12</v>
      </c>
      <c r="C875" s="5" t="s">
        <v>603</v>
      </c>
      <c r="D875" s="6">
        <v>44930</v>
      </c>
      <c r="E875" s="20">
        <v>476</v>
      </c>
      <c r="F875" s="7">
        <v>0</v>
      </c>
      <c r="J875" s="16"/>
    </row>
    <row r="876" spans="1:10" ht="30.75" thickBot="1" x14ac:dyDescent="0.3">
      <c r="A876" s="8">
        <v>875</v>
      </c>
      <c r="B876" s="9" t="s">
        <v>14</v>
      </c>
      <c r="C876" s="9" t="s">
        <v>604</v>
      </c>
      <c r="D876" s="10">
        <v>44618</v>
      </c>
      <c r="E876" s="21">
        <v>444</v>
      </c>
      <c r="F876" s="11">
        <v>0</v>
      </c>
      <c r="J876" s="16"/>
    </row>
    <row r="877" spans="1:10" ht="30.75" thickBot="1" x14ac:dyDescent="0.3">
      <c r="A877" s="8">
        <v>876</v>
      </c>
      <c r="B877" s="9" t="s">
        <v>16</v>
      </c>
      <c r="C877" s="9" t="s">
        <v>605</v>
      </c>
      <c r="D877" s="10">
        <v>44798</v>
      </c>
      <c r="E877" s="21">
        <v>613</v>
      </c>
      <c r="F877" s="11">
        <v>0</v>
      </c>
      <c r="J877" s="16"/>
    </row>
    <row r="878" spans="1:10" ht="15.75" thickBot="1" x14ac:dyDescent="0.3">
      <c r="A878" s="4">
        <v>877</v>
      </c>
      <c r="B878" s="5" t="s">
        <v>18</v>
      </c>
      <c r="C878" s="5" t="s">
        <v>606</v>
      </c>
      <c r="D878" s="6">
        <v>44664</v>
      </c>
      <c r="E878" s="20">
        <v>406</v>
      </c>
      <c r="F878" s="7">
        <v>0</v>
      </c>
      <c r="J878" s="16"/>
    </row>
    <row r="879" spans="1:10" ht="15.75" thickBot="1" x14ac:dyDescent="0.3">
      <c r="A879" s="4">
        <v>878</v>
      </c>
      <c r="B879" s="5" t="s">
        <v>20</v>
      </c>
      <c r="C879" s="5" t="s">
        <v>607</v>
      </c>
      <c r="D879" s="6">
        <v>44811</v>
      </c>
      <c r="E879" s="20">
        <v>688</v>
      </c>
      <c r="F879" s="7">
        <v>0</v>
      </c>
      <c r="J879" s="16"/>
    </row>
    <row r="880" spans="1:10" ht="30.75" thickBot="1" x14ac:dyDescent="0.3">
      <c r="A880" s="8">
        <v>879</v>
      </c>
      <c r="B880" s="9" t="s">
        <v>22</v>
      </c>
      <c r="C880" s="9" t="s">
        <v>608</v>
      </c>
      <c r="D880" s="10">
        <v>44772</v>
      </c>
      <c r="E880" s="21">
        <v>783</v>
      </c>
      <c r="F880" s="11">
        <v>0</v>
      </c>
      <c r="J880" s="16"/>
    </row>
    <row r="881" spans="1:10" ht="30.75" thickBot="1" x14ac:dyDescent="0.3">
      <c r="A881" s="8">
        <v>880</v>
      </c>
      <c r="B881" s="9" t="s">
        <v>24</v>
      </c>
      <c r="C881" s="9" t="s">
        <v>609</v>
      </c>
      <c r="D881" s="10">
        <v>44939</v>
      </c>
      <c r="E881" s="21">
        <v>530</v>
      </c>
      <c r="F881" s="11">
        <v>0</v>
      </c>
      <c r="J881" s="16"/>
    </row>
    <row r="882" spans="1:10" ht="30.75" thickBot="1" x14ac:dyDescent="0.3">
      <c r="A882" s="4">
        <v>881</v>
      </c>
      <c r="B882" s="5" t="s">
        <v>6</v>
      </c>
      <c r="C882" s="5" t="s">
        <v>610</v>
      </c>
      <c r="D882" s="6">
        <v>44960</v>
      </c>
      <c r="E882" s="20">
        <v>926</v>
      </c>
      <c r="F882" s="7">
        <v>0</v>
      </c>
      <c r="J882" s="16"/>
    </row>
    <row r="883" spans="1:10" ht="15.75" thickBot="1" x14ac:dyDescent="0.3">
      <c r="A883" s="4">
        <v>882</v>
      </c>
      <c r="B883" s="5" t="s">
        <v>8</v>
      </c>
      <c r="C883" s="5" t="s">
        <v>611</v>
      </c>
      <c r="D883" s="6">
        <v>44649</v>
      </c>
      <c r="E883" s="20">
        <v>417</v>
      </c>
      <c r="F883" s="7">
        <v>0</v>
      </c>
      <c r="J883" s="16"/>
    </row>
    <row r="884" spans="1:10" ht="30.75" thickBot="1" x14ac:dyDescent="0.3">
      <c r="A884" s="8">
        <v>883</v>
      </c>
      <c r="B884" s="9" t="s">
        <v>10</v>
      </c>
      <c r="C884" s="9" t="s">
        <v>612</v>
      </c>
      <c r="D884" s="10">
        <v>44751</v>
      </c>
      <c r="E884" s="21">
        <v>703</v>
      </c>
      <c r="F884" s="11">
        <v>0</v>
      </c>
      <c r="J884" s="16"/>
    </row>
    <row r="885" spans="1:10" ht="30.75" thickBot="1" x14ac:dyDescent="0.3">
      <c r="A885" s="8">
        <v>884</v>
      </c>
      <c r="B885" s="9" t="s">
        <v>12</v>
      </c>
      <c r="C885" s="9" t="s">
        <v>613</v>
      </c>
      <c r="D885" s="10">
        <v>44672</v>
      </c>
      <c r="E885" s="21">
        <v>723</v>
      </c>
      <c r="F885" s="11">
        <v>0</v>
      </c>
      <c r="J885" s="16"/>
    </row>
    <row r="886" spans="1:10" ht="30.75" thickBot="1" x14ac:dyDescent="0.3">
      <c r="A886" s="4">
        <v>885</v>
      </c>
      <c r="B886" s="5" t="s">
        <v>14</v>
      </c>
      <c r="C886" s="5" t="s">
        <v>614</v>
      </c>
      <c r="D886" s="6">
        <v>44645</v>
      </c>
      <c r="E886" s="20">
        <v>930</v>
      </c>
      <c r="F886" s="7">
        <v>0</v>
      </c>
      <c r="J886" s="16"/>
    </row>
    <row r="887" spans="1:10" ht="30.75" thickBot="1" x14ac:dyDescent="0.3">
      <c r="A887" s="4">
        <v>886</v>
      </c>
      <c r="B887" s="5" t="s">
        <v>16</v>
      </c>
      <c r="C887" s="5" t="s">
        <v>615</v>
      </c>
      <c r="D887" s="6">
        <v>44726</v>
      </c>
      <c r="E887" s="20">
        <v>455</v>
      </c>
      <c r="F887" s="7">
        <v>0</v>
      </c>
      <c r="J887" s="16"/>
    </row>
    <row r="888" spans="1:10" ht="15.75" thickBot="1" x14ac:dyDescent="0.3">
      <c r="A888" s="8">
        <v>887</v>
      </c>
      <c r="B888" s="9" t="s">
        <v>18</v>
      </c>
      <c r="C888" s="9" t="s">
        <v>616</v>
      </c>
      <c r="D888" s="10">
        <v>44987</v>
      </c>
      <c r="E888" s="21">
        <v>741</v>
      </c>
      <c r="F888" s="11">
        <v>0</v>
      </c>
      <c r="J888" s="16"/>
    </row>
    <row r="889" spans="1:10" ht="15.75" thickBot="1" x14ac:dyDescent="0.3">
      <c r="A889" s="8">
        <v>888</v>
      </c>
      <c r="B889" s="9" t="s">
        <v>20</v>
      </c>
      <c r="C889" s="9" t="s">
        <v>617</v>
      </c>
      <c r="D889" s="10">
        <v>44743</v>
      </c>
      <c r="E889" s="21">
        <v>994</v>
      </c>
      <c r="F889" s="11">
        <v>0</v>
      </c>
      <c r="J889" s="16"/>
    </row>
    <row r="890" spans="1:10" ht="30.75" thickBot="1" x14ac:dyDescent="0.3">
      <c r="A890" s="4">
        <v>889</v>
      </c>
      <c r="B890" s="5" t="s">
        <v>22</v>
      </c>
      <c r="C890" s="5" t="s">
        <v>618</v>
      </c>
      <c r="D890" s="6">
        <v>44916</v>
      </c>
      <c r="E890" s="20">
        <v>476</v>
      </c>
      <c r="F890" s="7">
        <v>0</v>
      </c>
      <c r="J890" s="16"/>
    </row>
    <row r="891" spans="1:10" ht="30.75" thickBot="1" x14ac:dyDescent="0.3">
      <c r="A891" s="4">
        <v>890</v>
      </c>
      <c r="B891" s="5" t="s">
        <v>24</v>
      </c>
      <c r="C891" s="5" t="s">
        <v>619</v>
      </c>
      <c r="D891" s="6">
        <v>44839</v>
      </c>
      <c r="E891" s="20">
        <v>784</v>
      </c>
      <c r="F891" s="7">
        <v>0</v>
      </c>
      <c r="J891" s="16"/>
    </row>
    <row r="892" spans="1:10" ht="30.75" thickBot="1" x14ac:dyDescent="0.3">
      <c r="A892" s="8">
        <v>891</v>
      </c>
      <c r="B892" s="9" t="s">
        <v>6</v>
      </c>
      <c r="C892" s="9" t="s">
        <v>620</v>
      </c>
      <c r="D892" s="10">
        <v>44834</v>
      </c>
      <c r="E892" s="21">
        <v>460</v>
      </c>
      <c r="F892" s="11">
        <v>0</v>
      </c>
      <c r="J892" s="16"/>
    </row>
    <row r="893" spans="1:10" ht="15.75" thickBot="1" x14ac:dyDescent="0.3">
      <c r="A893" s="8">
        <v>892</v>
      </c>
      <c r="B893" s="9" t="s">
        <v>8</v>
      </c>
      <c r="C893" s="9" t="s">
        <v>621</v>
      </c>
      <c r="D893" s="10">
        <v>44777</v>
      </c>
      <c r="E893" s="21">
        <v>421</v>
      </c>
      <c r="F893" s="11">
        <v>0</v>
      </c>
      <c r="J893" s="16"/>
    </row>
    <row r="894" spans="1:10" ht="30.75" thickBot="1" x14ac:dyDescent="0.3">
      <c r="A894" s="4">
        <v>893</v>
      </c>
      <c r="B894" s="5" t="s">
        <v>10</v>
      </c>
      <c r="C894" s="5" t="s">
        <v>622</v>
      </c>
      <c r="D894" s="6">
        <v>44952</v>
      </c>
      <c r="E894" s="20">
        <v>796</v>
      </c>
      <c r="F894" s="7">
        <v>0</v>
      </c>
      <c r="J894" s="16"/>
    </row>
    <row r="895" spans="1:10" ht="30.75" thickBot="1" x14ac:dyDescent="0.3">
      <c r="A895" s="4">
        <v>894</v>
      </c>
      <c r="B895" s="5" t="s">
        <v>12</v>
      </c>
      <c r="C895" s="5" t="s">
        <v>623</v>
      </c>
      <c r="D895" s="6">
        <v>44783</v>
      </c>
      <c r="E895" s="20">
        <v>630</v>
      </c>
      <c r="F895" s="7">
        <v>0</v>
      </c>
      <c r="J895" s="16"/>
    </row>
    <row r="896" spans="1:10" ht="30.75" thickBot="1" x14ac:dyDescent="0.3">
      <c r="A896" s="8">
        <v>895</v>
      </c>
      <c r="B896" s="9" t="s">
        <v>14</v>
      </c>
      <c r="C896" s="9" t="s">
        <v>624</v>
      </c>
      <c r="D896" s="10">
        <v>44797</v>
      </c>
      <c r="E896" s="21">
        <v>821</v>
      </c>
      <c r="F896" s="11">
        <v>0</v>
      </c>
      <c r="J896" s="16"/>
    </row>
    <row r="897" spans="1:10" ht="30.75" thickBot="1" x14ac:dyDescent="0.3">
      <c r="A897" s="8">
        <v>896</v>
      </c>
      <c r="B897" s="9" t="s">
        <v>16</v>
      </c>
      <c r="C897" s="9" t="s">
        <v>625</v>
      </c>
      <c r="D897" s="10">
        <v>44598</v>
      </c>
      <c r="E897" s="21">
        <v>595</v>
      </c>
      <c r="F897" s="11">
        <v>0</v>
      </c>
      <c r="J897" s="16"/>
    </row>
    <row r="898" spans="1:10" ht="15.75" thickBot="1" x14ac:dyDescent="0.3">
      <c r="A898" s="4">
        <v>897</v>
      </c>
      <c r="B898" s="5" t="s">
        <v>18</v>
      </c>
      <c r="C898" s="5" t="s">
        <v>626</v>
      </c>
      <c r="D898" s="6">
        <v>44922</v>
      </c>
      <c r="E898" s="20">
        <v>827</v>
      </c>
      <c r="F898" s="7">
        <v>0</v>
      </c>
      <c r="J898" s="16"/>
    </row>
    <row r="899" spans="1:10" ht="15.75" thickBot="1" x14ac:dyDescent="0.3">
      <c r="A899" s="4">
        <v>898</v>
      </c>
      <c r="B899" s="5" t="s">
        <v>20</v>
      </c>
      <c r="C899" s="5" t="s">
        <v>627</v>
      </c>
      <c r="D899" s="6">
        <v>44890</v>
      </c>
      <c r="E899" s="20">
        <v>838</v>
      </c>
      <c r="F899" s="7">
        <v>0</v>
      </c>
      <c r="J899" s="16"/>
    </row>
    <row r="900" spans="1:10" ht="30.75" thickBot="1" x14ac:dyDescent="0.3">
      <c r="A900" s="8">
        <v>899</v>
      </c>
      <c r="B900" s="9" t="s">
        <v>22</v>
      </c>
      <c r="C900" s="9" t="s">
        <v>628</v>
      </c>
      <c r="D900" s="10">
        <v>44674</v>
      </c>
      <c r="E900" s="21">
        <v>438</v>
      </c>
      <c r="F900" s="11">
        <v>0</v>
      </c>
      <c r="J900" s="16"/>
    </row>
    <row r="901" spans="1:10" ht="30.75" thickBot="1" x14ac:dyDescent="0.3">
      <c r="A901" s="8">
        <v>900</v>
      </c>
      <c r="B901" s="9" t="s">
        <v>24</v>
      </c>
      <c r="C901" s="9" t="s">
        <v>629</v>
      </c>
      <c r="D901" s="10">
        <v>44922</v>
      </c>
      <c r="E901" s="21">
        <v>898</v>
      </c>
      <c r="F901" s="11">
        <v>0</v>
      </c>
      <c r="J901" s="16"/>
    </row>
    <row r="902" spans="1:10" ht="30.75" thickBot="1" x14ac:dyDescent="0.3">
      <c r="A902" s="4">
        <v>901</v>
      </c>
      <c r="B902" s="5" t="s">
        <v>6</v>
      </c>
      <c r="C902" s="5" t="s">
        <v>630</v>
      </c>
      <c r="D902" s="6">
        <v>44771</v>
      </c>
      <c r="E902" s="20">
        <v>826</v>
      </c>
      <c r="F902" s="7">
        <v>0</v>
      </c>
      <c r="J902" s="16"/>
    </row>
    <row r="903" spans="1:10" ht="15.75" thickBot="1" x14ac:dyDescent="0.3">
      <c r="A903" s="4">
        <v>902</v>
      </c>
      <c r="B903" s="5" t="s">
        <v>8</v>
      </c>
      <c r="C903" s="5" t="s">
        <v>631</v>
      </c>
      <c r="D903" s="6">
        <v>44585</v>
      </c>
      <c r="E903" s="20">
        <v>499</v>
      </c>
      <c r="F903" s="7">
        <v>0</v>
      </c>
      <c r="J903" s="16"/>
    </row>
    <row r="904" spans="1:10" ht="30.75" thickBot="1" x14ac:dyDescent="0.3">
      <c r="A904" s="8">
        <v>903</v>
      </c>
      <c r="B904" s="9" t="s">
        <v>10</v>
      </c>
      <c r="C904" s="9" t="s">
        <v>632</v>
      </c>
      <c r="D904" s="10">
        <v>45017</v>
      </c>
      <c r="E904" s="21">
        <v>738</v>
      </c>
      <c r="F904" s="11">
        <v>0</v>
      </c>
      <c r="J904" s="16"/>
    </row>
    <row r="905" spans="1:10" ht="30.75" thickBot="1" x14ac:dyDescent="0.3">
      <c r="A905" s="8">
        <v>904</v>
      </c>
      <c r="B905" s="9" t="s">
        <v>12</v>
      </c>
      <c r="C905" s="9" t="s">
        <v>633</v>
      </c>
      <c r="D905" s="10">
        <v>44752</v>
      </c>
      <c r="E905" s="21">
        <v>435</v>
      </c>
      <c r="F905" s="11">
        <v>0</v>
      </c>
      <c r="J905" s="16"/>
    </row>
    <row r="906" spans="1:10" ht="30.75" thickBot="1" x14ac:dyDescent="0.3">
      <c r="A906" s="4">
        <v>905</v>
      </c>
      <c r="B906" s="5" t="s">
        <v>14</v>
      </c>
      <c r="C906" s="5" t="s">
        <v>634</v>
      </c>
      <c r="D906" s="6">
        <v>44792</v>
      </c>
      <c r="E906" s="20">
        <v>750</v>
      </c>
      <c r="F906" s="7">
        <v>0</v>
      </c>
      <c r="J906" s="16"/>
    </row>
    <row r="907" spans="1:10" ht="30.75" thickBot="1" x14ac:dyDescent="0.3">
      <c r="A907" s="4">
        <v>906</v>
      </c>
      <c r="B907" s="5" t="s">
        <v>16</v>
      </c>
      <c r="C907" s="5" t="s">
        <v>635</v>
      </c>
      <c r="D907" s="6">
        <v>44660</v>
      </c>
      <c r="E907" s="20">
        <v>403</v>
      </c>
      <c r="F907" s="7">
        <v>0</v>
      </c>
      <c r="J907" s="16"/>
    </row>
    <row r="908" spans="1:10" ht="15.75" thickBot="1" x14ac:dyDescent="0.3">
      <c r="A908" s="8">
        <v>907</v>
      </c>
      <c r="B908" s="9" t="s">
        <v>18</v>
      </c>
      <c r="C908" s="9" t="s">
        <v>636</v>
      </c>
      <c r="D908" s="10">
        <v>45047</v>
      </c>
      <c r="E908" s="21">
        <v>620</v>
      </c>
      <c r="F908" s="11">
        <v>0</v>
      </c>
      <c r="J908" s="16"/>
    </row>
    <row r="909" spans="1:10" ht="15.75" thickBot="1" x14ac:dyDescent="0.3">
      <c r="A909" s="8">
        <v>908</v>
      </c>
      <c r="B909" s="9" t="s">
        <v>20</v>
      </c>
      <c r="C909" s="9" t="s">
        <v>637</v>
      </c>
      <c r="D909" s="10">
        <v>44822</v>
      </c>
      <c r="E909" s="21">
        <v>636</v>
      </c>
      <c r="F909" s="11">
        <v>0</v>
      </c>
      <c r="J909" s="16"/>
    </row>
    <row r="910" spans="1:10" ht="30.75" thickBot="1" x14ac:dyDescent="0.3">
      <c r="A910" s="4">
        <v>909</v>
      </c>
      <c r="B910" s="5" t="s">
        <v>22</v>
      </c>
      <c r="C910" s="5" t="s">
        <v>638</v>
      </c>
      <c r="D910" s="6">
        <v>44637</v>
      </c>
      <c r="E910" s="20">
        <v>766</v>
      </c>
      <c r="F910" s="7">
        <v>0</v>
      </c>
      <c r="J910" s="16"/>
    </row>
    <row r="911" spans="1:10" ht="30.75" thickBot="1" x14ac:dyDescent="0.3">
      <c r="A911" s="4">
        <v>910</v>
      </c>
      <c r="B911" s="5" t="s">
        <v>24</v>
      </c>
      <c r="C911" s="5" t="s">
        <v>639</v>
      </c>
      <c r="D911" s="6">
        <v>44562</v>
      </c>
      <c r="E911" s="20">
        <v>624</v>
      </c>
      <c r="F911" s="7">
        <v>0</v>
      </c>
      <c r="J911" s="16"/>
    </row>
    <row r="912" spans="1:10" ht="30.75" thickBot="1" x14ac:dyDescent="0.3">
      <c r="A912" s="8">
        <v>911</v>
      </c>
      <c r="B912" s="9" t="s">
        <v>6</v>
      </c>
      <c r="C912" s="9" t="s">
        <v>640</v>
      </c>
      <c r="D912" s="10">
        <v>44894</v>
      </c>
      <c r="E912" s="21">
        <v>826</v>
      </c>
      <c r="F912" s="11">
        <v>0</v>
      </c>
      <c r="J912" s="16"/>
    </row>
    <row r="913" spans="1:10" ht="15.75" thickBot="1" x14ac:dyDescent="0.3">
      <c r="A913" s="8">
        <v>912</v>
      </c>
      <c r="B913" s="9" t="s">
        <v>8</v>
      </c>
      <c r="C913" s="9" t="s">
        <v>641</v>
      </c>
      <c r="D913" s="10">
        <v>44961</v>
      </c>
      <c r="E913" s="21">
        <v>863</v>
      </c>
      <c r="F913" s="11">
        <v>0</v>
      </c>
      <c r="J913" s="16"/>
    </row>
    <row r="914" spans="1:10" ht="30.75" thickBot="1" x14ac:dyDescent="0.3">
      <c r="A914" s="4">
        <v>913</v>
      </c>
      <c r="B914" s="5" t="s">
        <v>10</v>
      </c>
      <c r="C914" s="5" t="s">
        <v>642</v>
      </c>
      <c r="D914" s="6">
        <v>44890</v>
      </c>
      <c r="E914" s="20">
        <v>952</v>
      </c>
      <c r="F914" s="7">
        <v>0</v>
      </c>
      <c r="J914" s="16"/>
    </row>
    <row r="915" spans="1:10" ht="30.75" thickBot="1" x14ac:dyDescent="0.3">
      <c r="A915" s="4">
        <v>914</v>
      </c>
      <c r="B915" s="5" t="s">
        <v>12</v>
      </c>
      <c r="C915" s="5" t="s">
        <v>643</v>
      </c>
      <c r="D915" s="6">
        <v>44996</v>
      </c>
      <c r="E915" s="20">
        <v>653</v>
      </c>
      <c r="F915" s="7">
        <v>0</v>
      </c>
      <c r="J915" s="16"/>
    </row>
    <row r="916" spans="1:10" ht="30.75" thickBot="1" x14ac:dyDescent="0.3">
      <c r="A916" s="8">
        <v>915</v>
      </c>
      <c r="B916" s="9" t="s">
        <v>14</v>
      </c>
      <c r="C916" s="9" t="s">
        <v>644</v>
      </c>
      <c r="D916" s="10">
        <v>44726</v>
      </c>
      <c r="E916" s="21">
        <v>897</v>
      </c>
      <c r="F916" s="11">
        <v>0</v>
      </c>
      <c r="J916" s="16"/>
    </row>
    <row r="917" spans="1:10" ht="30.75" thickBot="1" x14ac:dyDescent="0.3">
      <c r="A917" s="8">
        <v>916</v>
      </c>
      <c r="B917" s="9" t="s">
        <v>16</v>
      </c>
      <c r="C917" s="9" t="s">
        <v>645</v>
      </c>
      <c r="D917" s="10">
        <v>45047</v>
      </c>
      <c r="E917" s="21">
        <v>822</v>
      </c>
      <c r="F917" s="11">
        <v>0</v>
      </c>
      <c r="J917" s="16"/>
    </row>
    <row r="918" spans="1:10" ht="15.75" thickBot="1" x14ac:dyDescent="0.3">
      <c r="A918" s="4">
        <v>917</v>
      </c>
      <c r="B918" s="5" t="s">
        <v>18</v>
      </c>
      <c r="C918" s="5" t="s">
        <v>646</v>
      </c>
      <c r="D918" s="6">
        <v>44890</v>
      </c>
      <c r="E918" s="20">
        <v>478</v>
      </c>
      <c r="F918" s="7">
        <v>0</v>
      </c>
      <c r="J918" s="16"/>
    </row>
    <row r="919" spans="1:10" ht="15.75" thickBot="1" x14ac:dyDescent="0.3">
      <c r="A919" s="4">
        <v>918</v>
      </c>
      <c r="B919" s="5" t="s">
        <v>20</v>
      </c>
      <c r="C919" s="5" t="s">
        <v>647</v>
      </c>
      <c r="D919" s="6">
        <v>44800</v>
      </c>
      <c r="E919" s="20">
        <v>910</v>
      </c>
      <c r="F919" s="7">
        <v>0</v>
      </c>
      <c r="J919" s="16"/>
    </row>
    <row r="920" spans="1:10" ht="30.75" thickBot="1" x14ac:dyDescent="0.3">
      <c r="A920" s="8">
        <v>919</v>
      </c>
      <c r="B920" s="9" t="s">
        <v>22</v>
      </c>
      <c r="C920" s="9" t="s">
        <v>648</v>
      </c>
      <c r="D920" s="10">
        <v>44903</v>
      </c>
      <c r="E920" s="21">
        <v>694</v>
      </c>
      <c r="F920" s="11">
        <v>0</v>
      </c>
      <c r="J920" s="16"/>
    </row>
    <row r="921" spans="1:10" ht="30.75" thickBot="1" x14ac:dyDescent="0.3">
      <c r="A921" s="8">
        <v>920</v>
      </c>
      <c r="B921" s="9" t="s">
        <v>24</v>
      </c>
      <c r="C921" s="9" t="s">
        <v>649</v>
      </c>
      <c r="D921" s="10">
        <v>44900</v>
      </c>
      <c r="E921" s="21">
        <v>739</v>
      </c>
      <c r="F921" s="11">
        <v>0</v>
      </c>
      <c r="J921" s="16"/>
    </row>
    <row r="922" spans="1:10" ht="30.75" thickBot="1" x14ac:dyDescent="0.3">
      <c r="A922" s="4">
        <v>921</v>
      </c>
      <c r="B922" s="5" t="s">
        <v>6</v>
      </c>
      <c r="C922" s="5" t="s">
        <v>650</v>
      </c>
      <c r="D922" s="6">
        <v>44753</v>
      </c>
      <c r="E922" s="20">
        <v>640</v>
      </c>
      <c r="F922" s="7">
        <v>0</v>
      </c>
      <c r="J922" s="16"/>
    </row>
    <row r="923" spans="1:10" ht="15.75" thickBot="1" x14ac:dyDescent="0.3">
      <c r="A923" s="4">
        <v>922</v>
      </c>
      <c r="B923" s="5" t="s">
        <v>8</v>
      </c>
      <c r="C923" s="5" t="s">
        <v>651</v>
      </c>
      <c r="D923" s="6">
        <v>44793</v>
      </c>
      <c r="E923" s="20">
        <v>602</v>
      </c>
      <c r="F923" s="7">
        <v>0</v>
      </c>
      <c r="J923" s="16"/>
    </row>
    <row r="924" spans="1:10" ht="30.75" thickBot="1" x14ac:dyDescent="0.3">
      <c r="A924" s="8">
        <v>923</v>
      </c>
      <c r="B924" s="9" t="s">
        <v>10</v>
      </c>
      <c r="C924" s="9" t="s">
        <v>652</v>
      </c>
      <c r="D924" s="10">
        <v>44732</v>
      </c>
      <c r="E924" s="21">
        <v>816</v>
      </c>
      <c r="F924" s="11">
        <v>0</v>
      </c>
      <c r="J924" s="16"/>
    </row>
    <row r="925" spans="1:10" ht="30.75" thickBot="1" x14ac:dyDescent="0.3">
      <c r="A925" s="8">
        <v>924</v>
      </c>
      <c r="B925" s="9" t="s">
        <v>12</v>
      </c>
      <c r="C925" s="9" t="s">
        <v>653</v>
      </c>
      <c r="D925" s="10">
        <v>44939</v>
      </c>
      <c r="E925" s="21">
        <v>852</v>
      </c>
      <c r="F925" s="11">
        <v>0</v>
      </c>
      <c r="J925" s="16"/>
    </row>
    <row r="926" spans="1:10" ht="30.75" thickBot="1" x14ac:dyDescent="0.3">
      <c r="A926" s="4">
        <v>925</v>
      </c>
      <c r="B926" s="5" t="s">
        <v>14</v>
      </c>
      <c r="C926" s="5" t="s">
        <v>654</v>
      </c>
      <c r="D926" s="6">
        <v>44891</v>
      </c>
      <c r="E926" s="20">
        <v>802</v>
      </c>
      <c r="F926" s="7">
        <v>0</v>
      </c>
      <c r="J926" s="16"/>
    </row>
    <row r="927" spans="1:10" ht="30.75" thickBot="1" x14ac:dyDescent="0.3">
      <c r="A927" s="4">
        <v>926</v>
      </c>
      <c r="B927" s="5" t="s">
        <v>16</v>
      </c>
      <c r="C927" s="5" t="s">
        <v>655</v>
      </c>
      <c r="D927" s="6">
        <v>44902</v>
      </c>
      <c r="E927" s="20">
        <v>461</v>
      </c>
      <c r="F927" s="7">
        <v>0</v>
      </c>
      <c r="J927" s="16"/>
    </row>
    <row r="928" spans="1:10" ht="15.75" thickBot="1" x14ac:dyDescent="0.3">
      <c r="A928" s="8">
        <v>927</v>
      </c>
      <c r="B928" s="9" t="s">
        <v>18</v>
      </c>
      <c r="C928" s="9" t="s">
        <v>656</v>
      </c>
      <c r="D928" s="10">
        <v>44772</v>
      </c>
      <c r="E928" s="21">
        <v>621</v>
      </c>
      <c r="F928" s="11">
        <v>0</v>
      </c>
      <c r="J928" s="16"/>
    </row>
    <row r="929" spans="1:10" ht="15.75" thickBot="1" x14ac:dyDescent="0.3">
      <c r="A929" s="8">
        <v>928</v>
      </c>
      <c r="B929" s="9" t="s">
        <v>20</v>
      </c>
      <c r="C929" s="9" t="s">
        <v>657</v>
      </c>
      <c r="D929" s="10">
        <v>44983</v>
      </c>
      <c r="E929" s="21">
        <v>430</v>
      </c>
      <c r="F929" s="11">
        <v>0</v>
      </c>
      <c r="J929" s="16"/>
    </row>
    <row r="930" spans="1:10" ht="30.75" thickBot="1" x14ac:dyDescent="0.3">
      <c r="A930" s="4">
        <v>929</v>
      </c>
      <c r="B930" s="5" t="s">
        <v>22</v>
      </c>
      <c r="C930" s="5" t="s">
        <v>658</v>
      </c>
      <c r="D930" s="6">
        <v>44900</v>
      </c>
      <c r="E930" s="20">
        <v>482</v>
      </c>
      <c r="F930" s="7">
        <v>0</v>
      </c>
      <c r="J930" s="16"/>
    </row>
    <row r="931" spans="1:10" ht="30.75" thickBot="1" x14ac:dyDescent="0.3">
      <c r="A931" s="4">
        <v>930</v>
      </c>
      <c r="B931" s="5" t="s">
        <v>24</v>
      </c>
      <c r="C931" s="5" t="s">
        <v>659</v>
      </c>
      <c r="D931" s="6">
        <v>44977</v>
      </c>
      <c r="E931" s="20">
        <v>447</v>
      </c>
      <c r="F931" s="7">
        <v>0</v>
      </c>
      <c r="J931" s="16"/>
    </row>
    <row r="932" spans="1:10" ht="30.75" thickBot="1" x14ac:dyDescent="0.3">
      <c r="A932" s="8">
        <v>931</v>
      </c>
      <c r="B932" s="9" t="s">
        <v>6</v>
      </c>
      <c r="C932" s="9" t="s">
        <v>660</v>
      </c>
      <c r="D932" s="10">
        <v>44762</v>
      </c>
      <c r="E932" s="21">
        <v>475</v>
      </c>
      <c r="F932" s="11">
        <v>0</v>
      </c>
      <c r="J932" s="16"/>
    </row>
    <row r="933" spans="1:10" ht="15.75" thickBot="1" x14ac:dyDescent="0.3">
      <c r="A933" s="8">
        <v>932</v>
      </c>
      <c r="B933" s="9" t="s">
        <v>8</v>
      </c>
      <c r="C933" s="9" t="s">
        <v>661</v>
      </c>
      <c r="D933" s="10">
        <v>45011</v>
      </c>
      <c r="E933" s="21">
        <v>578</v>
      </c>
      <c r="F933" s="11">
        <v>0</v>
      </c>
      <c r="J933" s="16"/>
    </row>
    <row r="934" spans="1:10" ht="30.75" thickBot="1" x14ac:dyDescent="0.3">
      <c r="A934" s="4">
        <v>933</v>
      </c>
      <c r="B934" s="5" t="s">
        <v>10</v>
      </c>
      <c r="C934" s="5" t="s">
        <v>662</v>
      </c>
      <c r="D934" s="6">
        <v>45015</v>
      </c>
      <c r="E934" s="20">
        <v>482</v>
      </c>
      <c r="F934" s="7">
        <v>0</v>
      </c>
      <c r="J934" s="16"/>
    </row>
    <row r="935" spans="1:10" ht="30.75" thickBot="1" x14ac:dyDescent="0.3">
      <c r="A935" s="4">
        <v>934</v>
      </c>
      <c r="B935" s="5" t="s">
        <v>12</v>
      </c>
      <c r="C935" s="5" t="s">
        <v>663</v>
      </c>
      <c r="D935" s="6">
        <v>44816</v>
      </c>
      <c r="E935" s="20">
        <v>987</v>
      </c>
      <c r="F935" s="7">
        <v>0</v>
      </c>
      <c r="J935" s="16"/>
    </row>
    <row r="936" spans="1:10" ht="30.75" thickBot="1" x14ac:dyDescent="0.3">
      <c r="A936" s="8">
        <v>935</v>
      </c>
      <c r="B936" s="9" t="s">
        <v>14</v>
      </c>
      <c r="C936" s="9" t="s">
        <v>664</v>
      </c>
      <c r="D936" s="10">
        <v>44655</v>
      </c>
      <c r="E936" s="21">
        <v>491</v>
      </c>
      <c r="F936" s="11">
        <v>0</v>
      </c>
      <c r="J936" s="16"/>
    </row>
    <row r="937" spans="1:10" ht="30.75" thickBot="1" x14ac:dyDescent="0.3">
      <c r="A937" s="8">
        <v>936</v>
      </c>
      <c r="B937" s="9" t="s">
        <v>16</v>
      </c>
      <c r="C937" s="9" t="s">
        <v>665</v>
      </c>
      <c r="D937" s="10">
        <v>44933</v>
      </c>
      <c r="E937" s="21">
        <v>405</v>
      </c>
      <c r="F937" s="11">
        <v>0</v>
      </c>
      <c r="J937" s="16"/>
    </row>
    <row r="938" spans="1:10" ht="15.75" thickBot="1" x14ac:dyDescent="0.3">
      <c r="A938" s="4">
        <v>937</v>
      </c>
      <c r="B938" s="5" t="s">
        <v>18</v>
      </c>
      <c r="C938" s="5" t="s">
        <v>666</v>
      </c>
      <c r="D938" s="6">
        <v>44963</v>
      </c>
      <c r="E938" s="20">
        <v>648</v>
      </c>
      <c r="F938" s="7">
        <v>0</v>
      </c>
      <c r="J938" s="16"/>
    </row>
    <row r="939" spans="1:10" ht="15.75" thickBot="1" x14ac:dyDescent="0.3">
      <c r="A939" s="4">
        <v>938</v>
      </c>
      <c r="B939" s="5" t="s">
        <v>20</v>
      </c>
      <c r="C939" s="5" t="s">
        <v>667</v>
      </c>
      <c r="D939" s="6">
        <v>44818</v>
      </c>
      <c r="E939" s="20">
        <v>803</v>
      </c>
      <c r="F939" s="7">
        <v>0</v>
      </c>
      <c r="J939" s="16"/>
    </row>
    <row r="940" spans="1:10" ht="30.75" thickBot="1" x14ac:dyDescent="0.3">
      <c r="A940" s="8">
        <v>939</v>
      </c>
      <c r="B940" s="9" t="s">
        <v>22</v>
      </c>
      <c r="C940" s="9" t="s">
        <v>668</v>
      </c>
      <c r="D940" s="10">
        <v>44893</v>
      </c>
      <c r="E940" s="21">
        <v>507</v>
      </c>
      <c r="F940" s="11">
        <v>0</v>
      </c>
      <c r="J940" s="16"/>
    </row>
    <row r="941" spans="1:10" ht="30.75" thickBot="1" x14ac:dyDescent="0.3">
      <c r="A941" s="8">
        <v>940</v>
      </c>
      <c r="B941" s="9" t="s">
        <v>24</v>
      </c>
      <c r="C941" s="9" t="s">
        <v>669</v>
      </c>
      <c r="D941" s="10">
        <v>44728</v>
      </c>
      <c r="E941" s="21">
        <v>706</v>
      </c>
      <c r="F941" s="11">
        <v>0</v>
      </c>
      <c r="J941" s="16"/>
    </row>
    <row r="942" spans="1:10" ht="30.75" thickBot="1" x14ac:dyDescent="0.3">
      <c r="A942" s="4">
        <v>941</v>
      </c>
      <c r="B942" s="5" t="s">
        <v>6</v>
      </c>
      <c r="C942" s="5" t="s">
        <v>670</v>
      </c>
      <c r="D942" s="6">
        <v>44794</v>
      </c>
      <c r="E942" s="20">
        <v>560</v>
      </c>
      <c r="F942" s="7">
        <v>0</v>
      </c>
      <c r="J942" s="16"/>
    </row>
    <row r="943" spans="1:10" ht="15.75" thickBot="1" x14ac:dyDescent="0.3">
      <c r="A943" s="4">
        <v>942</v>
      </c>
      <c r="B943" s="5" t="s">
        <v>8</v>
      </c>
      <c r="C943" s="5" t="s">
        <v>671</v>
      </c>
      <c r="D943" s="6">
        <v>44845</v>
      </c>
      <c r="E943" s="20">
        <v>957</v>
      </c>
      <c r="F943" s="7">
        <v>0</v>
      </c>
      <c r="J943" s="16"/>
    </row>
    <row r="944" spans="1:10" ht="30.75" thickBot="1" x14ac:dyDescent="0.3">
      <c r="A944" s="8">
        <v>943</v>
      </c>
      <c r="B944" s="9" t="s">
        <v>10</v>
      </c>
      <c r="C944" s="9" t="s">
        <v>672</v>
      </c>
      <c r="D944" s="10">
        <v>45012</v>
      </c>
      <c r="E944" s="21">
        <v>598</v>
      </c>
      <c r="F944" s="11">
        <v>0</v>
      </c>
      <c r="J944" s="16"/>
    </row>
    <row r="945" spans="1:10" ht="30.75" thickBot="1" x14ac:dyDescent="0.3">
      <c r="A945" s="8">
        <v>944</v>
      </c>
      <c r="B945" s="9" t="s">
        <v>12</v>
      </c>
      <c r="C945" s="9" t="s">
        <v>673</v>
      </c>
      <c r="D945" s="10">
        <v>44654</v>
      </c>
      <c r="E945" s="21">
        <v>872</v>
      </c>
      <c r="F945" s="11">
        <v>0</v>
      </c>
      <c r="J945" s="16"/>
    </row>
    <row r="946" spans="1:10" ht="30.75" thickBot="1" x14ac:dyDescent="0.3">
      <c r="A946" s="4">
        <v>945</v>
      </c>
      <c r="B946" s="5" t="s">
        <v>14</v>
      </c>
      <c r="C946" s="5" t="s">
        <v>674</v>
      </c>
      <c r="D946" s="6">
        <v>44823</v>
      </c>
      <c r="E946" s="20">
        <v>571</v>
      </c>
      <c r="F946" s="7">
        <v>0</v>
      </c>
      <c r="J946" s="16"/>
    </row>
    <row r="947" spans="1:10" ht="30.75" thickBot="1" x14ac:dyDescent="0.3">
      <c r="A947" s="4">
        <v>946</v>
      </c>
      <c r="B947" s="5" t="s">
        <v>16</v>
      </c>
      <c r="C947" s="5" t="s">
        <v>675</v>
      </c>
      <c r="D947" s="6">
        <v>44931</v>
      </c>
      <c r="E947" s="20">
        <v>858</v>
      </c>
      <c r="F947" s="7">
        <v>0</v>
      </c>
      <c r="J947" s="16"/>
    </row>
    <row r="948" spans="1:10" ht="15.75" thickBot="1" x14ac:dyDescent="0.3">
      <c r="A948" s="8">
        <v>947</v>
      </c>
      <c r="B948" s="9" t="s">
        <v>18</v>
      </c>
      <c r="C948" s="9" t="s">
        <v>676</v>
      </c>
      <c r="D948" s="10">
        <v>44732</v>
      </c>
      <c r="E948" s="21">
        <v>461</v>
      </c>
      <c r="F948" s="11">
        <v>0</v>
      </c>
      <c r="J948" s="16"/>
    </row>
    <row r="949" spans="1:10" ht="15.75" thickBot="1" x14ac:dyDescent="0.3">
      <c r="A949" s="8">
        <v>948</v>
      </c>
      <c r="B949" s="9" t="s">
        <v>20</v>
      </c>
      <c r="C949" s="9" t="s">
        <v>677</v>
      </c>
      <c r="D949" s="10">
        <v>44906</v>
      </c>
      <c r="E949" s="21">
        <v>997</v>
      </c>
      <c r="F949" s="11">
        <v>0</v>
      </c>
      <c r="J949" s="16"/>
    </row>
    <row r="950" spans="1:10" ht="30.75" thickBot="1" x14ac:dyDescent="0.3">
      <c r="A950" s="4">
        <v>949</v>
      </c>
      <c r="B950" s="5" t="s">
        <v>22</v>
      </c>
      <c r="C950" s="5" t="s">
        <v>678</v>
      </c>
      <c r="D950" s="6">
        <v>44797</v>
      </c>
      <c r="E950" s="20">
        <v>580</v>
      </c>
      <c r="F950" s="7">
        <v>0</v>
      </c>
      <c r="J950" s="16"/>
    </row>
    <row r="951" spans="1:10" ht="30.75" thickBot="1" x14ac:dyDescent="0.3">
      <c r="A951" s="4">
        <v>950</v>
      </c>
      <c r="B951" s="5" t="s">
        <v>24</v>
      </c>
      <c r="C951" s="5" t="s">
        <v>679</v>
      </c>
      <c r="D951" s="6">
        <v>44673</v>
      </c>
      <c r="E951" s="20">
        <v>679</v>
      </c>
      <c r="F951" s="7">
        <v>0</v>
      </c>
      <c r="J951" s="16"/>
    </row>
    <row r="952" spans="1:10" ht="30.75" thickBot="1" x14ac:dyDescent="0.3">
      <c r="A952" s="8">
        <v>951</v>
      </c>
      <c r="B952" s="9" t="s">
        <v>6</v>
      </c>
      <c r="C952" s="9" t="s">
        <v>680</v>
      </c>
      <c r="D952" s="10">
        <v>44821</v>
      </c>
      <c r="E952" s="21">
        <v>708</v>
      </c>
      <c r="F952" s="11">
        <v>0</v>
      </c>
      <c r="J952" s="16"/>
    </row>
    <row r="953" spans="1:10" ht="15.75" thickBot="1" x14ac:dyDescent="0.3">
      <c r="A953" s="8">
        <v>952</v>
      </c>
      <c r="B953" s="9" t="s">
        <v>8</v>
      </c>
      <c r="C953" s="9" t="s">
        <v>681</v>
      </c>
      <c r="D953" s="10">
        <v>44735</v>
      </c>
      <c r="E953" s="21">
        <v>777</v>
      </c>
      <c r="F953" s="11">
        <v>0</v>
      </c>
      <c r="J953" s="16"/>
    </row>
    <row r="954" spans="1:10" ht="30.75" thickBot="1" x14ac:dyDescent="0.3">
      <c r="A954" s="4">
        <v>953</v>
      </c>
      <c r="B954" s="5" t="s">
        <v>10</v>
      </c>
      <c r="C954" s="5" t="s">
        <v>682</v>
      </c>
      <c r="D954" s="6">
        <v>44667</v>
      </c>
      <c r="E954" s="20">
        <v>703</v>
      </c>
      <c r="F954" s="7">
        <v>0</v>
      </c>
      <c r="J954" s="16"/>
    </row>
    <row r="955" spans="1:10" ht="30.75" thickBot="1" x14ac:dyDescent="0.3">
      <c r="A955" s="4">
        <v>954</v>
      </c>
      <c r="B955" s="5" t="s">
        <v>12</v>
      </c>
      <c r="C955" s="5" t="s">
        <v>683</v>
      </c>
      <c r="D955" s="6">
        <v>45012</v>
      </c>
      <c r="E955" s="20">
        <v>437</v>
      </c>
      <c r="F955" s="7">
        <v>0</v>
      </c>
      <c r="J955" s="16"/>
    </row>
    <row r="956" spans="1:10" ht="30.75" thickBot="1" x14ac:dyDescent="0.3">
      <c r="A956" s="8">
        <v>955</v>
      </c>
      <c r="B956" s="9" t="s">
        <v>14</v>
      </c>
      <c r="C956" s="9" t="s">
        <v>684</v>
      </c>
      <c r="D956" s="10">
        <v>44986</v>
      </c>
      <c r="E956" s="21">
        <v>995</v>
      </c>
      <c r="F956" s="11">
        <v>0</v>
      </c>
      <c r="J956" s="16"/>
    </row>
    <row r="957" spans="1:10" ht="30.75" thickBot="1" x14ac:dyDescent="0.3">
      <c r="A957" s="8">
        <v>956</v>
      </c>
      <c r="B957" s="9" t="s">
        <v>16</v>
      </c>
      <c r="C957" s="9" t="s">
        <v>685</v>
      </c>
      <c r="D957" s="10">
        <v>44713</v>
      </c>
      <c r="E957" s="21">
        <v>934</v>
      </c>
      <c r="F957" s="11">
        <v>0</v>
      </c>
      <c r="J957" s="16"/>
    </row>
    <row r="958" spans="1:10" ht="15.75" thickBot="1" x14ac:dyDescent="0.3">
      <c r="A958" s="4">
        <v>957</v>
      </c>
      <c r="B958" s="5" t="s">
        <v>18</v>
      </c>
      <c r="C958" s="5" t="s">
        <v>686</v>
      </c>
      <c r="D958" s="6">
        <v>44695</v>
      </c>
      <c r="E958" s="20">
        <v>681</v>
      </c>
      <c r="F958" s="7">
        <v>0</v>
      </c>
      <c r="J958" s="16"/>
    </row>
    <row r="959" spans="1:10" ht="15.75" thickBot="1" x14ac:dyDescent="0.3">
      <c r="A959" s="4">
        <v>958</v>
      </c>
      <c r="B959" s="5" t="s">
        <v>20</v>
      </c>
      <c r="C959" s="5" t="s">
        <v>687</v>
      </c>
      <c r="D959" s="6">
        <v>44868</v>
      </c>
      <c r="E959" s="20">
        <v>926</v>
      </c>
      <c r="F959" s="7">
        <v>0</v>
      </c>
      <c r="J959" s="16"/>
    </row>
    <row r="960" spans="1:10" ht="30.75" thickBot="1" x14ac:dyDescent="0.3">
      <c r="A960" s="8">
        <v>959</v>
      </c>
      <c r="B960" s="9" t="s">
        <v>22</v>
      </c>
      <c r="C960" s="9" t="s">
        <v>688</v>
      </c>
      <c r="D960" s="10">
        <v>44930</v>
      </c>
      <c r="E960" s="21">
        <v>411</v>
      </c>
      <c r="F960" s="11">
        <v>0</v>
      </c>
      <c r="J960" s="16"/>
    </row>
    <row r="961" spans="1:10" ht="30.75" thickBot="1" x14ac:dyDescent="0.3">
      <c r="A961" s="8">
        <v>960</v>
      </c>
      <c r="B961" s="9" t="s">
        <v>24</v>
      </c>
      <c r="C961" s="9" t="s">
        <v>689</v>
      </c>
      <c r="D961" s="10">
        <v>44895</v>
      </c>
      <c r="E961" s="21">
        <v>910</v>
      </c>
      <c r="F961" s="11">
        <v>0</v>
      </c>
      <c r="J961" s="16"/>
    </row>
    <row r="962" spans="1:10" ht="30.75" thickBot="1" x14ac:dyDescent="0.3">
      <c r="A962" s="4">
        <v>961</v>
      </c>
      <c r="B962" s="5" t="s">
        <v>6</v>
      </c>
      <c r="C962" s="5" t="s">
        <v>690</v>
      </c>
      <c r="D962" s="6">
        <v>44825</v>
      </c>
      <c r="E962" s="20">
        <v>753</v>
      </c>
      <c r="F962" s="7">
        <v>0</v>
      </c>
      <c r="J962" s="16"/>
    </row>
    <row r="963" spans="1:10" ht="15.75" thickBot="1" x14ac:dyDescent="0.3">
      <c r="A963" s="4">
        <v>962</v>
      </c>
      <c r="B963" s="5" t="s">
        <v>8</v>
      </c>
      <c r="C963" s="5" t="s">
        <v>691</v>
      </c>
      <c r="D963" s="6">
        <v>44625</v>
      </c>
      <c r="E963" s="20">
        <v>586</v>
      </c>
      <c r="F963" s="7">
        <v>0</v>
      </c>
      <c r="J963" s="16"/>
    </row>
    <row r="964" spans="1:10" ht="30.75" thickBot="1" x14ac:dyDescent="0.3">
      <c r="A964" s="8">
        <v>963</v>
      </c>
      <c r="B964" s="9" t="s">
        <v>10</v>
      </c>
      <c r="C964" s="9" t="s">
        <v>692</v>
      </c>
      <c r="D964" s="10">
        <v>44748</v>
      </c>
      <c r="E964" s="21">
        <v>819</v>
      </c>
      <c r="F964" s="11">
        <v>0</v>
      </c>
      <c r="J964" s="16"/>
    </row>
    <row r="965" spans="1:10" ht="30.75" thickBot="1" x14ac:dyDescent="0.3">
      <c r="A965" s="8">
        <v>964</v>
      </c>
      <c r="B965" s="9" t="s">
        <v>12</v>
      </c>
      <c r="C965" s="9" t="s">
        <v>693</v>
      </c>
      <c r="D965" s="10">
        <v>44905</v>
      </c>
      <c r="E965" s="21">
        <v>458</v>
      </c>
      <c r="F965" s="11">
        <v>0</v>
      </c>
      <c r="J965" s="16"/>
    </row>
    <row r="966" spans="1:10" ht="30.75" thickBot="1" x14ac:dyDescent="0.3">
      <c r="A966" s="4">
        <v>965</v>
      </c>
      <c r="B966" s="5" t="s">
        <v>14</v>
      </c>
      <c r="C966" s="5" t="s">
        <v>694</v>
      </c>
      <c r="D966" s="6">
        <v>44974</v>
      </c>
      <c r="E966" s="20">
        <v>807</v>
      </c>
      <c r="F966" s="7">
        <v>0</v>
      </c>
      <c r="J966" s="16"/>
    </row>
    <row r="967" spans="1:10" ht="30.75" thickBot="1" x14ac:dyDescent="0.3">
      <c r="A967" s="4">
        <v>966</v>
      </c>
      <c r="B967" s="5" t="s">
        <v>16</v>
      </c>
      <c r="C967" s="5" t="s">
        <v>695</v>
      </c>
      <c r="D967" s="6">
        <v>44938</v>
      </c>
      <c r="E967" s="20">
        <v>775</v>
      </c>
      <c r="F967" s="7">
        <v>0</v>
      </c>
      <c r="J967" s="16"/>
    </row>
    <row r="968" spans="1:10" ht="15.75" thickBot="1" x14ac:dyDescent="0.3">
      <c r="A968" s="8">
        <v>967</v>
      </c>
      <c r="B968" s="9" t="s">
        <v>18</v>
      </c>
      <c r="C968" s="9" t="s">
        <v>696</v>
      </c>
      <c r="D968" s="10">
        <v>44733</v>
      </c>
      <c r="E968" s="21">
        <v>710</v>
      </c>
      <c r="F968" s="11">
        <v>0</v>
      </c>
      <c r="J968" s="16"/>
    </row>
    <row r="969" spans="1:10" ht="15.75" thickBot="1" x14ac:dyDescent="0.3">
      <c r="A969" s="8">
        <v>968</v>
      </c>
      <c r="B969" s="9" t="s">
        <v>20</v>
      </c>
      <c r="C969" s="9" t="s">
        <v>697</v>
      </c>
      <c r="D969" s="10">
        <v>44967</v>
      </c>
      <c r="E969" s="21">
        <v>995</v>
      </c>
      <c r="F969" s="11">
        <v>0</v>
      </c>
      <c r="J969" s="16"/>
    </row>
    <row r="970" spans="1:10" ht="30.75" thickBot="1" x14ac:dyDescent="0.3">
      <c r="A970" s="4">
        <v>969</v>
      </c>
      <c r="B970" s="5" t="s">
        <v>22</v>
      </c>
      <c r="C970" s="5" t="s">
        <v>698</v>
      </c>
      <c r="D970" s="6">
        <v>44845</v>
      </c>
      <c r="E970" s="20">
        <v>440</v>
      </c>
      <c r="F970" s="7">
        <v>0</v>
      </c>
      <c r="J970" s="16"/>
    </row>
    <row r="971" spans="1:10" ht="30.75" thickBot="1" x14ac:dyDescent="0.3">
      <c r="A971" s="4">
        <v>970</v>
      </c>
      <c r="B971" s="5" t="s">
        <v>24</v>
      </c>
      <c r="C971" s="5" t="s">
        <v>699</v>
      </c>
      <c r="D971" s="6">
        <v>44715</v>
      </c>
      <c r="E971" s="20">
        <v>449</v>
      </c>
      <c r="F971" s="7">
        <v>0</v>
      </c>
      <c r="J971" s="16"/>
    </row>
    <row r="972" spans="1:10" ht="30.75" thickBot="1" x14ac:dyDescent="0.3">
      <c r="A972" s="8">
        <v>971</v>
      </c>
      <c r="B972" s="9" t="s">
        <v>6</v>
      </c>
      <c r="C972" s="9" t="s">
        <v>700</v>
      </c>
      <c r="D972" s="10">
        <v>44929</v>
      </c>
      <c r="E972" s="21">
        <v>507</v>
      </c>
      <c r="F972" s="11">
        <v>0</v>
      </c>
      <c r="J972" s="16"/>
    </row>
    <row r="973" spans="1:10" ht="15.75" thickBot="1" x14ac:dyDescent="0.3">
      <c r="A973" s="8">
        <v>972</v>
      </c>
      <c r="B973" s="9" t="s">
        <v>8</v>
      </c>
      <c r="C973" s="9" t="s">
        <v>701</v>
      </c>
      <c r="D973" s="10">
        <v>44856</v>
      </c>
      <c r="E973" s="21">
        <v>913</v>
      </c>
      <c r="F973" s="11">
        <v>0</v>
      </c>
      <c r="J973" s="16"/>
    </row>
    <row r="974" spans="1:10" ht="30.75" thickBot="1" x14ac:dyDescent="0.3">
      <c r="A974" s="4">
        <v>973</v>
      </c>
      <c r="B974" s="5" t="s">
        <v>10</v>
      </c>
      <c r="C974" s="5" t="s">
        <v>702</v>
      </c>
      <c r="D974" s="6">
        <v>44690</v>
      </c>
      <c r="E974" s="20">
        <v>693</v>
      </c>
      <c r="F974" s="7">
        <v>0</v>
      </c>
      <c r="J974" s="16"/>
    </row>
    <row r="975" spans="1:10" ht="30.75" thickBot="1" x14ac:dyDescent="0.3">
      <c r="A975" s="4">
        <v>974</v>
      </c>
      <c r="B975" s="5" t="s">
        <v>12</v>
      </c>
      <c r="C975" s="5" t="s">
        <v>703</v>
      </c>
      <c r="D975" s="6">
        <v>44930</v>
      </c>
      <c r="E975" s="20">
        <v>401</v>
      </c>
      <c r="F975" s="7">
        <v>0</v>
      </c>
      <c r="J975" s="16"/>
    </row>
    <row r="976" spans="1:10" ht="30.75" thickBot="1" x14ac:dyDescent="0.3">
      <c r="A976" s="8">
        <v>975</v>
      </c>
      <c r="B976" s="9" t="s">
        <v>14</v>
      </c>
      <c r="C976" s="9" t="s">
        <v>704</v>
      </c>
      <c r="D976" s="10">
        <v>44618</v>
      </c>
      <c r="E976" s="21">
        <v>960</v>
      </c>
      <c r="F976" s="11">
        <v>0</v>
      </c>
      <c r="J976" s="16"/>
    </row>
    <row r="977" spans="1:10" ht="30.75" thickBot="1" x14ac:dyDescent="0.3">
      <c r="A977" s="8">
        <v>976</v>
      </c>
      <c r="B977" s="9" t="s">
        <v>16</v>
      </c>
      <c r="C977" s="9" t="s">
        <v>705</v>
      </c>
      <c r="D977" s="10">
        <v>44798</v>
      </c>
      <c r="E977" s="21">
        <v>784</v>
      </c>
      <c r="F977" s="11">
        <v>0</v>
      </c>
      <c r="J977" s="16"/>
    </row>
    <row r="978" spans="1:10" ht="15.75" thickBot="1" x14ac:dyDescent="0.3">
      <c r="A978" s="4">
        <v>977</v>
      </c>
      <c r="B978" s="5" t="s">
        <v>18</v>
      </c>
      <c r="C978" s="5" t="s">
        <v>706</v>
      </c>
      <c r="D978" s="6">
        <v>44664</v>
      </c>
      <c r="E978" s="20">
        <v>863</v>
      </c>
      <c r="F978" s="7">
        <v>0</v>
      </c>
      <c r="J978" s="16"/>
    </row>
    <row r="979" spans="1:10" ht="15.75" thickBot="1" x14ac:dyDescent="0.3">
      <c r="A979" s="4">
        <v>978</v>
      </c>
      <c r="B979" s="5" t="s">
        <v>20</v>
      </c>
      <c r="C979" s="5" t="s">
        <v>707</v>
      </c>
      <c r="D979" s="6">
        <v>44811</v>
      </c>
      <c r="E979" s="20">
        <v>595</v>
      </c>
      <c r="F979" s="7">
        <v>0</v>
      </c>
      <c r="J979" s="16"/>
    </row>
    <row r="980" spans="1:10" ht="30.75" thickBot="1" x14ac:dyDescent="0.3">
      <c r="A980" s="8">
        <v>979</v>
      </c>
      <c r="B980" s="9" t="s">
        <v>22</v>
      </c>
      <c r="C980" s="9" t="s">
        <v>708</v>
      </c>
      <c r="D980" s="10">
        <v>44772</v>
      </c>
      <c r="E980" s="21">
        <v>854</v>
      </c>
      <c r="F980" s="11">
        <v>0</v>
      </c>
      <c r="J980" s="16"/>
    </row>
    <row r="981" spans="1:10" ht="30.75" thickBot="1" x14ac:dyDescent="0.3">
      <c r="A981" s="8">
        <v>980</v>
      </c>
      <c r="B981" s="9" t="s">
        <v>24</v>
      </c>
      <c r="C981" s="9" t="s">
        <v>709</v>
      </c>
      <c r="D981" s="10">
        <v>44939</v>
      </c>
      <c r="E981" s="21">
        <v>694</v>
      </c>
      <c r="F981" s="11">
        <v>0</v>
      </c>
      <c r="J981" s="16"/>
    </row>
    <row r="982" spans="1:10" ht="30.75" thickBot="1" x14ac:dyDescent="0.3">
      <c r="A982" s="4">
        <v>981</v>
      </c>
      <c r="B982" s="5" t="s">
        <v>6</v>
      </c>
      <c r="C982" s="5" t="s">
        <v>710</v>
      </c>
      <c r="D982" s="6">
        <v>44960</v>
      </c>
      <c r="E982" s="20">
        <v>515</v>
      </c>
      <c r="F982" s="7">
        <v>0</v>
      </c>
      <c r="J982" s="16"/>
    </row>
    <row r="983" spans="1:10" ht="15.75" thickBot="1" x14ac:dyDescent="0.3">
      <c r="A983" s="4">
        <v>982</v>
      </c>
      <c r="B983" s="5" t="s">
        <v>8</v>
      </c>
      <c r="C983" s="5" t="s">
        <v>711</v>
      </c>
      <c r="D983" s="6">
        <v>44649</v>
      </c>
      <c r="E983" s="20">
        <v>642</v>
      </c>
      <c r="F983" s="7">
        <v>0</v>
      </c>
      <c r="J983" s="16"/>
    </row>
    <row r="984" spans="1:10" ht="30.75" thickBot="1" x14ac:dyDescent="0.3">
      <c r="A984" s="8">
        <v>983</v>
      </c>
      <c r="B984" s="9" t="s">
        <v>10</v>
      </c>
      <c r="C984" s="9" t="s">
        <v>712</v>
      </c>
      <c r="D984" s="10">
        <v>44751</v>
      </c>
      <c r="E984" s="21">
        <v>705</v>
      </c>
      <c r="F984" s="11">
        <v>0</v>
      </c>
      <c r="J984" s="16"/>
    </row>
    <row r="985" spans="1:10" ht="30.75" thickBot="1" x14ac:dyDescent="0.3">
      <c r="A985" s="8">
        <v>984</v>
      </c>
      <c r="B985" s="9" t="s">
        <v>12</v>
      </c>
      <c r="C985" s="9" t="s">
        <v>713</v>
      </c>
      <c r="D985" s="10">
        <v>44672</v>
      </c>
      <c r="E985" s="21">
        <v>486</v>
      </c>
      <c r="F985" s="11">
        <v>0</v>
      </c>
      <c r="J985" s="16"/>
    </row>
    <row r="986" spans="1:10" ht="30.75" thickBot="1" x14ac:dyDescent="0.3">
      <c r="A986" s="4">
        <v>985</v>
      </c>
      <c r="B986" s="5" t="s">
        <v>14</v>
      </c>
      <c r="C986" s="5" t="s">
        <v>714</v>
      </c>
      <c r="D986" s="6">
        <v>44645</v>
      </c>
      <c r="E986" s="20">
        <v>980</v>
      </c>
      <c r="F986" s="7">
        <v>0</v>
      </c>
      <c r="J986" s="16"/>
    </row>
    <row r="987" spans="1:10" ht="30.75" thickBot="1" x14ac:dyDescent="0.3">
      <c r="A987" s="4">
        <v>986</v>
      </c>
      <c r="B987" s="5" t="s">
        <v>16</v>
      </c>
      <c r="C987" s="5" t="s">
        <v>715</v>
      </c>
      <c r="D987" s="6">
        <v>44726</v>
      </c>
      <c r="E987" s="20">
        <v>786</v>
      </c>
      <c r="F987" s="7">
        <v>0</v>
      </c>
      <c r="J987" s="16"/>
    </row>
    <row r="988" spans="1:10" ht="15.75" thickBot="1" x14ac:dyDescent="0.3">
      <c r="A988" s="8">
        <v>987</v>
      </c>
      <c r="B988" s="9" t="s">
        <v>18</v>
      </c>
      <c r="C988" s="9" t="s">
        <v>716</v>
      </c>
      <c r="D988" s="10">
        <v>44987</v>
      </c>
      <c r="E988" s="21">
        <v>772</v>
      </c>
      <c r="F988" s="11">
        <v>0</v>
      </c>
      <c r="J988" s="16"/>
    </row>
    <row r="989" spans="1:10" ht="15.75" thickBot="1" x14ac:dyDescent="0.3">
      <c r="A989" s="8">
        <v>988</v>
      </c>
      <c r="B989" s="9" t="s">
        <v>20</v>
      </c>
      <c r="C989" s="9" t="s">
        <v>717</v>
      </c>
      <c r="D989" s="10">
        <v>44743</v>
      </c>
      <c r="E989" s="21">
        <v>874</v>
      </c>
      <c r="F989" s="11">
        <v>0</v>
      </c>
      <c r="J989" s="16"/>
    </row>
    <row r="990" spans="1:10" ht="30.75" thickBot="1" x14ac:dyDescent="0.3">
      <c r="A990" s="4">
        <v>989</v>
      </c>
      <c r="B990" s="5" t="s">
        <v>22</v>
      </c>
      <c r="C990" s="5" t="s">
        <v>718</v>
      </c>
      <c r="D990" s="6">
        <v>44916</v>
      </c>
      <c r="E990" s="20">
        <v>916</v>
      </c>
      <c r="F990" s="7">
        <v>0</v>
      </c>
      <c r="J990" s="16"/>
    </row>
    <row r="991" spans="1:10" ht="30.75" thickBot="1" x14ac:dyDescent="0.3">
      <c r="A991" s="4">
        <v>990</v>
      </c>
      <c r="B991" s="5" t="s">
        <v>24</v>
      </c>
      <c r="C991" s="5" t="s">
        <v>719</v>
      </c>
      <c r="D991" s="6">
        <v>44839</v>
      </c>
      <c r="E991" s="20">
        <v>439</v>
      </c>
      <c r="F991" s="7">
        <v>0</v>
      </c>
      <c r="J991" s="16"/>
    </row>
    <row r="992" spans="1:10" ht="30.75" thickBot="1" x14ac:dyDescent="0.3">
      <c r="A992" s="8">
        <v>991</v>
      </c>
      <c r="B992" s="9" t="s">
        <v>6</v>
      </c>
      <c r="C992" s="9" t="s">
        <v>720</v>
      </c>
      <c r="D992" s="10">
        <v>44834</v>
      </c>
      <c r="E992" s="21">
        <v>820</v>
      </c>
      <c r="F992" s="11">
        <v>0</v>
      </c>
      <c r="J992" s="16"/>
    </row>
    <row r="993" spans="1:10" ht="15.75" thickBot="1" x14ac:dyDescent="0.3">
      <c r="A993" s="8">
        <v>992</v>
      </c>
      <c r="B993" s="9" t="s">
        <v>8</v>
      </c>
      <c r="C993" s="9" t="s">
        <v>721</v>
      </c>
      <c r="D993" s="10">
        <v>44777</v>
      </c>
      <c r="E993" s="21">
        <v>988</v>
      </c>
      <c r="F993" s="11">
        <v>0</v>
      </c>
      <c r="J993" s="16"/>
    </row>
    <row r="994" spans="1:10" ht="30.75" thickBot="1" x14ac:dyDescent="0.3">
      <c r="A994" s="4">
        <v>993</v>
      </c>
      <c r="B994" s="5" t="s">
        <v>10</v>
      </c>
      <c r="C994" s="5" t="s">
        <v>722</v>
      </c>
      <c r="D994" s="6">
        <v>44952</v>
      </c>
      <c r="E994" s="20">
        <v>501</v>
      </c>
      <c r="F994" s="7">
        <v>0</v>
      </c>
      <c r="J994" s="16"/>
    </row>
    <row r="995" spans="1:10" ht="30.75" thickBot="1" x14ac:dyDescent="0.3">
      <c r="A995" s="4">
        <v>994</v>
      </c>
      <c r="B995" s="5" t="s">
        <v>12</v>
      </c>
      <c r="C995" s="5" t="s">
        <v>723</v>
      </c>
      <c r="D995" s="6">
        <v>44783</v>
      </c>
      <c r="E995" s="20">
        <v>829</v>
      </c>
      <c r="F995" s="7">
        <v>0</v>
      </c>
      <c r="J995" s="16"/>
    </row>
    <row r="996" spans="1:10" ht="30.75" thickBot="1" x14ac:dyDescent="0.3">
      <c r="A996" s="8">
        <v>995</v>
      </c>
      <c r="B996" s="9" t="s">
        <v>14</v>
      </c>
      <c r="C996" s="9" t="s">
        <v>724</v>
      </c>
      <c r="D996" s="10">
        <v>44797</v>
      </c>
      <c r="E996" s="21">
        <v>830</v>
      </c>
      <c r="F996" s="11">
        <v>0</v>
      </c>
      <c r="J996" s="16"/>
    </row>
    <row r="997" spans="1:10" ht="30.75" thickBot="1" x14ac:dyDescent="0.3">
      <c r="A997" s="8">
        <v>996</v>
      </c>
      <c r="B997" s="9" t="s">
        <v>16</v>
      </c>
      <c r="C997" s="9" t="s">
        <v>725</v>
      </c>
      <c r="D997" s="10">
        <v>44598</v>
      </c>
      <c r="E997" s="21">
        <v>864</v>
      </c>
      <c r="F997" s="11">
        <v>0</v>
      </c>
      <c r="J997" s="16"/>
    </row>
    <row r="998" spans="1:10" ht="15.75" thickBot="1" x14ac:dyDescent="0.3">
      <c r="A998" s="4">
        <v>997</v>
      </c>
      <c r="B998" s="5" t="s">
        <v>18</v>
      </c>
      <c r="C998" s="5" t="s">
        <v>726</v>
      </c>
      <c r="D998" s="6">
        <v>44922</v>
      </c>
      <c r="E998" s="20">
        <v>964</v>
      </c>
      <c r="F998" s="7">
        <v>0</v>
      </c>
      <c r="J998" s="16"/>
    </row>
    <row r="999" spans="1:10" ht="15.75" thickBot="1" x14ac:dyDescent="0.3">
      <c r="A999" s="4">
        <v>998</v>
      </c>
      <c r="B999" s="5" t="s">
        <v>20</v>
      </c>
      <c r="C999" s="5" t="s">
        <v>727</v>
      </c>
      <c r="D999" s="6">
        <v>44890</v>
      </c>
      <c r="E999" s="20">
        <v>417</v>
      </c>
      <c r="F999" s="7">
        <v>0</v>
      </c>
      <c r="J999" s="16"/>
    </row>
    <row r="1000" spans="1:10" ht="30.75" thickBot="1" x14ac:dyDescent="0.3">
      <c r="A1000" s="8">
        <v>999</v>
      </c>
      <c r="B1000" s="9" t="s">
        <v>22</v>
      </c>
      <c r="C1000" s="9" t="s">
        <v>728</v>
      </c>
      <c r="D1000" s="10">
        <v>44674</v>
      </c>
      <c r="E1000" s="21">
        <v>589</v>
      </c>
      <c r="F1000" s="11">
        <v>0</v>
      </c>
      <c r="J1000" s="16"/>
    </row>
    <row r="1001" spans="1:10" ht="30.75" thickBot="1" x14ac:dyDescent="0.3">
      <c r="A1001" s="8">
        <v>1000</v>
      </c>
      <c r="B1001" s="9" t="s">
        <v>24</v>
      </c>
      <c r="C1001" s="9" t="s">
        <v>729</v>
      </c>
      <c r="D1001" s="10">
        <v>44922</v>
      </c>
      <c r="E1001" s="21">
        <v>617</v>
      </c>
      <c r="F1001" s="11">
        <v>0</v>
      </c>
      <c r="J1001" s="16"/>
    </row>
    <row r="1002" spans="1:10" ht="30.75" thickBot="1" x14ac:dyDescent="0.3">
      <c r="A1002" s="4">
        <v>1001</v>
      </c>
      <c r="B1002" s="5" t="s">
        <v>6</v>
      </c>
      <c r="C1002" s="5" t="s">
        <v>730</v>
      </c>
      <c r="D1002" s="6">
        <v>44771</v>
      </c>
      <c r="E1002" s="20">
        <v>693</v>
      </c>
      <c r="F1002" s="7">
        <v>0</v>
      </c>
      <c r="J1002" s="16"/>
    </row>
    <row r="1003" spans="1:10" ht="15.75" thickBot="1" x14ac:dyDescent="0.3">
      <c r="A1003" s="4">
        <v>1002</v>
      </c>
      <c r="B1003" s="5" t="s">
        <v>8</v>
      </c>
      <c r="C1003" s="5" t="s">
        <v>731</v>
      </c>
      <c r="D1003" s="6">
        <v>44585</v>
      </c>
      <c r="E1003" s="20">
        <v>467</v>
      </c>
      <c r="F1003" s="7">
        <v>0</v>
      </c>
      <c r="J1003" s="16"/>
    </row>
    <row r="1004" spans="1:10" ht="30.75" thickBot="1" x14ac:dyDescent="0.3">
      <c r="A1004" s="8">
        <v>1003</v>
      </c>
      <c r="B1004" s="9" t="s">
        <v>10</v>
      </c>
      <c r="C1004" s="9" t="s">
        <v>732</v>
      </c>
      <c r="D1004" s="10">
        <v>45017</v>
      </c>
      <c r="E1004" s="21">
        <v>485</v>
      </c>
      <c r="F1004" s="11">
        <v>0</v>
      </c>
      <c r="J1004" s="16"/>
    </row>
    <row r="1005" spans="1:10" ht="30.75" thickBot="1" x14ac:dyDescent="0.3">
      <c r="A1005" s="8">
        <v>1004</v>
      </c>
      <c r="B1005" s="9" t="s">
        <v>12</v>
      </c>
      <c r="C1005" s="9" t="s">
        <v>733</v>
      </c>
      <c r="D1005" s="10">
        <v>44752</v>
      </c>
      <c r="E1005" s="21">
        <v>611</v>
      </c>
      <c r="F1005" s="11">
        <v>0</v>
      </c>
      <c r="J1005" s="16"/>
    </row>
    <row r="1006" spans="1:10" ht="30.75" thickBot="1" x14ac:dyDescent="0.3">
      <c r="A1006" s="4">
        <v>1005</v>
      </c>
      <c r="B1006" s="5" t="s">
        <v>14</v>
      </c>
      <c r="C1006" s="5" t="s">
        <v>734</v>
      </c>
      <c r="D1006" s="6">
        <v>44792</v>
      </c>
      <c r="E1006" s="20">
        <v>662</v>
      </c>
      <c r="F1006" s="7">
        <v>0</v>
      </c>
      <c r="J1006" s="16"/>
    </row>
    <row r="1007" spans="1:10" ht="30.75" thickBot="1" x14ac:dyDescent="0.3">
      <c r="A1007" s="4">
        <v>1006</v>
      </c>
      <c r="B1007" s="5" t="s">
        <v>16</v>
      </c>
      <c r="C1007" s="5" t="s">
        <v>735</v>
      </c>
      <c r="D1007" s="6">
        <v>44660</v>
      </c>
      <c r="E1007" s="20">
        <v>532</v>
      </c>
      <c r="F1007" s="7">
        <v>0</v>
      </c>
      <c r="J1007" s="16"/>
    </row>
    <row r="1008" spans="1:10" ht="15.75" thickBot="1" x14ac:dyDescent="0.3">
      <c r="A1008" s="8">
        <v>1007</v>
      </c>
      <c r="B1008" s="9" t="s">
        <v>18</v>
      </c>
      <c r="C1008" s="9" t="s">
        <v>736</v>
      </c>
      <c r="D1008" s="10">
        <v>45047</v>
      </c>
      <c r="E1008" s="21">
        <v>724</v>
      </c>
      <c r="F1008" s="11">
        <v>0</v>
      </c>
      <c r="J1008" s="16"/>
    </row>
    <row r="1009" spans="1:10" ht="15.75" thickBot="1" x14ac:dyDescent="0.3">
      <c r="A1009" s="8">
        <v>1008</v>
      </c>
      <c r="B1009" s="9" t="s">
        <v>20</v>
      </c>
      <c r="C1009" s="9" t="s">
        <v>737</v>
      </c>
      <c r="D1009" s="10">
        <v>44822</v>
      </c>
      <c r="E1009" s="21">
        <v>1000</v>
      </c>
      <c r="F1009" s="11">
        <v>0</v>
      </c>
      <c r="J1009" s="16"/>
    </row>
    <row r="1010" spans="1:10" ht="30.75" thickBot="1" x14ac:dyDescent="0.3">
      <c r="A1010" s="4">
        <v>1009</v>
      </c>
      <c r="B1010" s="5" t="s">
        <v>22</v>
      </c>
      <c r="C1010" s="5" t="s">
        <v>738</v>
      </c>
      <c r="D1010" s="6">
        <v>44637</v>
      </c>
      <c r="E1010" s="20">
        <v>908</v>
      </c>
      <c r="F1010" s="7">
        <v>0</v>
      </c>
      <c r="J1010" s="16"/>
    </row>
    <row r="1011" spans="1:10" ht="30.75" thickBot="1" x14ac:dyDescent="0.3">
      <c r="A1011" s="4">
        <v>1010</v>
      </c>
      <c r="B1011" s="5" t="s">
        <v>24</v>
      </c>
      <c r="C1011" s="5" t="s">
        <v>739</v>
      </c>
      <c r="D1011" s="6">
        <v>44562</v>
      </c>
      <c r="E1011" s="20">
        <v>760</v>
      </c>
      <c r="F1011" s="7">
        <v>0</v>
      </c>
      <c r="J1011" s="16"/>
    </row>
    <row r="1012" spans="1:10" ht="30.75" thickBot="1" x14ac:dyDescent="0.3">
      <c r="A1012" s="8">
        <v>1011</v>
      </c>
      <c r="B1012" s="9" t="s">
        <v>6</v>
      </c>
      <c r="C1012" s="9" t="s">
        <v>740</v>
      </c>
      <c r="D1012" s="10">
        <v>44894</v>
      </c>
      <c r="E1012" s="21">
        <v>503</v>
      </c>
      <c r="F1012" s="11">
        <v>0</v>
      </c>
      <c r="J1012" s="16"/>
    </row>
    <row r="1013" spans="1:10" ht="15.75" thickBot="1" x14ac:dyDescent="0.3">
      <c r="A1013" s="8">
        <v>1012</v>
      </c>
      <c r="B1013" s="9" t="s">
        <v>8</v>
      </c>
      <c r="C1013" s="9" t="s">
        <v>741</v>
      </c>
      <c r="D1013" s="10">
        <v>44961</v>
      </c>
      <c r="E1013" s="21">
        <v>596</v>
      </c>
      <c r="F1013" s="11">
        <v>0</v>
      </c>
      <c r="J1013" s="16"/>
    </row>
    <row r="1014" spans="1:10" ht="30.75" thickBot="1" x14ac:dyDescent="0.3">
      <c r="A1014" s="4">
        <v>1013</v>
      </c>
      <c r="B1014" s="5" t="s">
        <v>10</v>
      </c>
      <c r="C1014" s="5" t="s">
        <v>742</v>
      </c>
      <c r="D1014" s="6">
        <v>44890</v>
      </c>
      <c r="E1014" s="20">
        <v>982</v>
      </c>
      <c r="F1014" s="7">
        <v>0</v>
      </c>
      <c r="J1014" s="16"/>
    </row>
    <row r="1015" spans="1:10" ht="30.75" thickBot="1" x14ac:dyDescent="0.3">
      <c r="A1015" s="4">
        <v>1014</v>
      </c>
      <c r="B1015" s="5" t="s">
        <v>12</v>
      </c>
      <c r="C1015" s="5" t="s">
        <v>743</v>
      </c>
      <c r="D1015" s="6">
        <v>44996</v>
      </c>
      <c r="E1015" s="20">
        <v>516</v>
      </c>
      <c r="F1015" s="7">
        <v>0</v>
      </c>
      <c r="J1015" s="16"/>
    </row>
    <row r="1016" spans="1:10" ht="30.75" thickBot="1" x14ac:dyDescent="0.3">
      <c r="A1016" s="8">
        <v>1015</v>
      </c>
      <c r="B1016" s="9" t="s">
        <v>14</v>
      </c>
      <c r="C1016" s="9" t="s">
        <v>744</v>
      </c>
      <c r="D1016" s="10">
        <v>44726</v>
      </c>
      <c r="E1016" s="21">
        <v>470</v>
      </c>
      <c r="F1016" s="11">
        <v>0</v>
      </c>
      <c r="J1016" s="16"/>
    </row>
    <row r="1017" spans="1:10" ht="30.75" thickBot="1" x14ac:dyDescent="0.3">
      <c r="A1017" s="8">
        <v>1016</v>
      </c>
      <c r="B1017" s="9" t="s">
        <v>16</v>
      </c>
      <c r="C1017" s="9" t="s">
        <v>745</v>
      </c>
      <c r="D1017" s="10">
        <v>45047</v>
      </c>
      <c r="E1017" s="21">
        <v>656</v>
      </c>
      <c r="F1017" s="11">
        <v>0</v>
      </c>
      <c r="J1017" s="16"/>
    </row>
    <row r="1018" spans="1:10" ht="15.75" thickBot="1" x14ac:dyDescent="0.3">
      <c r="A1018" s="4">
        <v>1017</v>
      </c>
      <c r="B1018" s="5" t="s">
        <v>18</v>
      </c>
      <c r="C1018" s="5" t="s">
        <v>746</v>
      </c>
      <c r="D1018" s="6">
        <v>44890</v>
      </c>
      <c r="E1018" s="20">
        <v>765</v>
      </c>
      <c r="F1018" s="7">
        <v>0</v>
      </c>
      <c r="J1018" s="16"/>
    </row>
    <row r="1019" spans="1:10" ht="15.75" thickBot="1" x14ac:dyDescent="0.3">
      <c r="A1019" s="4">
        <v>1018</v>
      </c>
      <c r="B1019" s="5" t="s">
        <v>20</v>
      </c>
      <c r="C1019" s="5" t="s">
        <v>747</v>
      </c>
      <c r="D1019" s="6">
        <v>44800</v>
      </c>
      <c r="E1019" s="20">
        <v>410</v>
      </c>
      <c r="F1019" s="7">
        <v>0</v>
      </c>
      <c r="J1019" s="16"/>
    </row>
    <row r="1020" spans="1:10" ht="30.75" thickBot="1" x14ac:dyDescent="0.3">
      <c r="A1020" s="8">
        <v>1019</v>
      </c>
      <c r="B1020" s="9" t="s">
        <v>22</v>
      </c>
      <c r="C1020" s="9" t="s">
        <v>748</v>
      </c>
      <c r="D1020" s="10">
        <v>44903</v>
      </c>
      <c r="E1020" s="21">
        <v>804</v>
      </c>
      <c r="F1020" s="11">
        <v>0</v>
      </c>
      <c r="J1020" s="16"/>
    </row>
    <row r="1021" spans="1:10" ht="30.75" thickBot="1" x14ac:dyDescent="0.3">
      <c r="A1021" s="8">
        <v>1020</v>
      </c>
      <c r="B1021" s="9" t="s">
        <v>24</v>
      </c>
      <c r="C1021" s="9" t="s">
        <v>749</v>
      </c>
      <c r="D1021" s="10">
        <v>44900</v>
      </c>
      <c r="E1021" s="21">
        <v>915</v>
      </c>
      <c r="F1021" s="11">
        <v>0</v>
      </c>
      <c r="J1021" s="16"/>
    </row>
    <row r="1022" spans="1:10" ht="30.75" thickBot="1" x14ac:dyDescent="0.3">
      <c r="A1022" s="4">
        <v>1021</v>
      </c>
      <c r="B1022" s="5" t="s">
        <v>6</v>
      </c>
      <c r="C1022" s="5" t="s">
        <v>750</v>
      </c>
      <c r="D1022" s="6">
        <v>44753</v>
      </c>
      <c r="E1022" s="20">
        <v>813</v>
      </c>
      <c r="F1022" s="7">
        <v>0</v>
      </c>
      <c r="J1022" s="16"/>
    </row>
    <row r="1023" spans="1:10" ht="15.75" thickBot="1" x14ac:dyDescent="0.3">
      <c r="A1023" s="4">
        <v>1022</v>
      </c>
      <c r="B1023" s="5" t="s">
        <v>8</v>
      </c>
      <c r="C1023" s="5" t="s">
        <v>751</v>
      </c>
      <c r="D1023" s="6">
        <v>44793</v>
      </c>
      <c r="E1023" s="20">
        <v>705</v>
      </c>
      <c r="F1023" s="7">
        <v>0</v>
      </c>
      <c r="J1023" s="16"/>
    </row>
    <row r="1024" spans="1:10" ht="30.75" thickBot="1" x14ac:dyDescent="0.3">
      <c r="A1024" s="8">
        <v>1023</v>
      </c>
      <c r="B1024" s="9" t="s">
        <v>10</v>
      </c>
      <c r="C1024" s="9" t="s">
        <v>752</v>
      </c>
      <c r="D1024" s="10">
        <v>44732</v>
      </c>
      <c r="E1024" s="21">
        <v>697</v>
      </c>
      <c r="F1024" s="11">
        <v>0</v>
      </c>
      <c r="J1024" s="16"/>
    </row>
    <row r="1025" spans="1:10" ht="30.75" thickBot="1" x14ac:dyDescent="0.3">
      <c r="A1025" s="8">
        <v>1024</v>
      </c>
      <c r="B1025" s="9" t="s">
        <v>12</v>
      </c>
      <c r="C1025" s="9" t="s">
        <v>753</v>
      </c>
      <c r="D1025" s="10">
        <v>44939</v>
      </c>
      <c r="E1025" s="21">
        <v>878</v>
      </c>
      <c r="F1025" s="11">
        <v>0</v>
      </c>
      <c r="J1025" s="16"/>
    </row>
    <row r="1026" spans="1:10" ht="30.75" thickBot="1" x14ac:dyDescent="0.3">
      <c r="A1026" s="4">
        <v>1025</v>
      </c>
      <c r="B1026" s="5" t="s">
        <v>14</v>
      </c>
      <c r="C1026" s="5" t="s">
        <v>754</v>
      </c>
      <c r="D1026" s="6">
        <v>44891</v>
      </c>
      <c r="E1026" s="20">
        <v>797</v>
      </c>
      <c r="F1026" s="7">
        <v>0</v>
      </c>
      <c r="J1026" s="16"/>
    </row>
    <row r="1027" spans="1:10" ht="30.75" thickBot="1" x14ac:dyDescent="0.3">
      <c r="A1027" s="4">
        <v>1026</v>
      </c>
      <c r="B1027" s="5" t="s">
        <v>16</v>
      </c>
      <c r="C1027" s="5" t="s">
        <v>755</v>
      </c>
      <c r="D1027" s="6">
        <v>44902</v>
      </c>
      <c r="E1027" s="20">
        <v>582</v>
      </c>
      <c r="F1027" s="7">
        <v>0</v>
      </c>
      <c r="J1027" s="16"/>
    </row>
    <row r="1028" spans="1:10" ht="15.75" thickBot="1" x14ac:dyDescent="0.3">
      <c r="A1028" s="8">
        <v>1027</v>
      </c>
      <c r="B1028" s="9" t="s">
        <v>18</v>
      </c>
      <c r="C1028" s="9" t="s">
        <v>756</v>
      </c>
      <c r="D1028" s="10">
        <v>44772</v>
      </c>
      <c r="E1028" s="21">
        <v>519</v>
      </c>
      <c r="F1028" s="11">
        <v>0</v>
      </c>
      <c r="J1028" s="16"/>
    </row>
    <row r="1029" spans="1:10" ht="15.75" thickBot="1" x14ac:dyDescent="0.3">
      <c r="A1029" s="8">
        <v>1028</v>
      </c>
      <c r="B1029" s="9" t="s">
        <v>20</v>
      </c>
      <c r="C1029" s="9" t="s">
        <v>757</v>
      </c>
      <c r="D1029" s="10">
        <v>44983</v>
      </c>
      <c r="E1029" s="21">
        <v>593</v>
      </c>
      <c r="F1029" s="11">
        <v>0</v>
      </c>
      <c r="J1029" s="16"/>
    </row>
    <row r="1030" spans="1:10" ht="30.75" thickBot="1" x14ac:dyDescent="0.3">
      <c r="A1030" s="4">
        <v>1029</v>
      </c>
      <c r="B1030" s="5" t="s">
        <v>22</v>
      </c>
      <c r="C1030" s="5" t="s">
        <v>758</v>
      </c>
      <c r="D1030" s="6">
        <v>44900</v>
      </c>
      <c r="E1030" s="20">
        <v>624</v>
      </c>
      <c r="F1030" s="7">
        <v>0</v>
      </c>
      <c r="J1030" s="16"/>
    </row>
    <row r="1031" spans="1:10" ht="30.75" thickBot="1" x14ac:dyDescent="0.3">
      <c r="A1031" s="4">
        <v>1030</v>
      </c>
      <c r="B1031" s="5" t="s">
        <v>24</v>
      </c>
      <c r="C1031" s="5" t="s">
        <v>759</v>
      </c>
      <c r="D1031" s="6">
        <v>44977</v>
      </c>
      <c r="E1031" s="20">
        <v>602</v>
      </c>
      <c r="F1031" s="7">
        <v>0</v>
      </c>
      <c r="J1031" s="16"/>
    </row>
    <row r="1032" spans="1:10" ht="30.75" thickBot="1" x14ac:dyDescent="0.3">
      <c r="A1032" s="8">
        <v>1031</v>
      </c>
      <c r="B1032" s="9" t="s">
        <v>6</v>
      </c>
      <c r="C1032" s="9" t="s">
        <v>760</v>
      </c>
      <c r="D1032" s="10">
        <v>44762</v>
      </c>
      <c r="E1032" s="21">
        <v>945</v>
      </c>
      <c r="F1032" s="11">
        <v>0</v>
      </c>
      <c r="J1032" s="16"/>
    </row>
    <row r="1033" spans="1:10" ht="15.75" thickBot="1" x14ac:dyDescent="0.3">
      <c r="A1033" s="8">
        <v>1032</v>
      </c>
      <c r="B1033" s="9" t="s">
        <v>8</v>
      </c>
      <c r="C1033" s="9" t="s">
        <v>761</v>
      </c>
      <c r="D1033" s="10">
        <v>45011</v>
      </c>
      <c r="E1033" s="21">
        <v>469</v>
      </c>
      <c r="F1033" s="11">
        <v>0</v>
      </c>
      <c r="J1033" s="16"/>
    </row>
    <row r="1034" spans="1:10" ht="30.75" thickBot="1" x14ac:dyDescent="0.3">
      <c r="A1034" s="4">
        <v>1033</v>
      </c>
      <c r="B1034" s="5" t="s">
        <v>10</v>
      </c>
      <c r="C1034" s="5" t="s">
        <v>762</v>
      </c>
      <c r="D1034" s="6">
        <v>45015</v>
      </c>
      <c r="E1034" s="20">
        <v>945</v>
      </c>
      <c r="F1034" s="7">
        <v>0</v>
      </c>
      <c r="J1034" s="16"/>
    </row>
    <row r="1035" spans="1:10" ht="30.75" thickBot="1" x14ac:dyDescent="0.3">
      <c r="A1035" s="4">
        <v>1034</v>
      </c>
      <c r="B1035" s="5" t="s">
        <v>12</v>
      </c>
      <c r="C1035" s="5" t="s">
        <v>763</v>
      </c>
      <c r="D1035" s="6">
        <v>44816</v>
      </c>
      <c r="E1035" s="20">
        <v>860</v>
      </c>
      <c r="F1035" s="7">
        <v>0</v>
      </c>
      <c r="J1035" s="16"/>
    </row>
    <row r="1036" spans="1:10" ht="30.75" thickBot="1" x14ac:dyDescent="0.3">
      <c r="A1036" s="8">
        <v>1035</v>
      </c>
      <c r="B1036" s="9" t="s">
        <v>14</v>
      </c>
      <c r="C1036" s="9" t="s">
        <v>764</v>
      </c>
      <c r="D1036" s="10">
        <v>44655</v>
      </c>
      <c r="E1036" s="21">
        <v>427</v>
      </c>
      <c r="F1036" s="11">
        <v>0</v>
      </c>
      <c r="J1036" s="16"/>
    </row>
    <row r="1037" spans="1:10" ht="30.75" thickBot="1" x14ac:dyDescent="0.3">
      <c r="A1037" s="8">
        <v>1036</v>
      </c>
      <c r="B1037" s="9" t="s">
        <v>16</v>
      </c>
      <c r="C1037" s="9" t="s">
        <v>765</v>
      </c>
      <c r="D1037" s="10">
        <v>44933</v>
      </c>
      <c r="E1037" s="21">
        <v>495</v>
      </c>
      <c r="F1037" s="11">
        <v>0</v>
      </c>
      <c r="J1037" s="16"/>
    </row>
    <row r="1038" spans="1:10" ht="15.75" thickBot="1" x14ac:dyDescent="0.3">
      <c r="A1038" s="4">
        <v>1037</v>
      </c>
      <c r="B1038" s="5" t="s">
        <v>18</v>
      </c>
      <c r="C1038" s="5" t="s">
        <v>766</v>
      </c>
      <c r="D1038" s="6">
        <v>44963</v>
      </c>
      <c r="E1038" s="20">
        <v>864</v>
      </c>
      <c r="F1038" s="7">
        <v>0</v>
      </c>
      <c r="J1038" s="16"/>
    </row>
    <row r="1039" spans="1:10" ht="15.75" thickBot="1" x14ac:dyDescent="0.3">
      <c r="A1039" s="4">
        <v>1038</v>
      </c>
      <c r="B1039" s="5" t="s">
        <v>20</v>
      </c>
      <c r="C1039" s="5" t="s">
        <v>767</v>
      </c>
      <c r="D1039" s="6">
        <v>44818</v>
      </c>
      <c r="E1039" s="20">
        <v>699</v>
      </c>
      <c r="F1039" s="7">
        <v>0</v>
      </c>
      <c r="J1039" s="16"/>
    </row>
    <row r="1040" spans="1:10" ht="30.75" thickBot="1" x14ac:dyDescent="0.3">
      <c r="A1040" s="8">
        <v>1039</v>
      </c>
      <c r="B1040" s="9" t="s">
        <v>22</v>
      </c>
      <c r="C1040" s="9" t="s">
        <v>768</v>
      </c>
      <c r="D1040" s="10">
        <v>44893</v>
      </c>
      <c r="E1040" s="21">
        <v>959</v>
      </c>
      <c r="F1040" s="11">
        <v>0</v>
      </c>
      <c r="J1040" s="16"/>
    </row>
    <row r="1041" spans="1:10" ht="30.75" thickBot="1" x14ac:dyDescent="0.3">
      <c r="A1041" s="8">
        <v>1040</v>
      </c>
      <c r="B1041" s="9" t="s">
        <v>24</v>
      </c>
      <c r="C1041" s="9" t="s">
        <v>769</v>
      </c>
      <c r="D1041" s="10">
        <v>44728</v>
      </c>
      <c r="E1041" s="21">
        <v>756</v>
      </c>
      <c r="F1041" s="11">
        <v>0</v>
      </c>
      <c r="J1041" s="16"/>
    </row>
    <row r="1042" spans="1:10" ht="30.75" thickBot="1" x14ac:dyDescent="0.3">
      <c r="A1042" s="4">
        <v>1041</v>
      </c>
      <c r="B1042" s="5" t="s">
        <v>6</v>
      </c>
      <c r="C1042" s="5" t="s">
        <v>770</v>
      </c>
      <c r="D1042" s="6">
        <v>44794</v>
      </c>
      <c r="E1042" s="20">
        <v>729</v>
      </c>
      <c r="F1042" s="7">
        <v>0</v>
      </c>
      <c r="J1042" s="16"/>
    </row>
    <row r="1043" spans="1:10" ht="15.75" thickBot="1" x14ac:dyDescent="0.3">
      <c r="A1043" s="4">
        <v>1042</v>
      </c>
      <c r="B1043" s="5" t="s">
        <v>8</v>
      </c>
      <c r="C1043" s="5" t="s">
        <v>771</v>
      </c>
      <c r="D1043" s="6">
        <v>44845</v>
      </c>
      <c r="E1043" s="20">
        <v>537</v>
      </c>
      <c r="F1043" s="7">
        <v>0</v>
      </c>
      <c r="J1043" s="16"/>
    </row>
    <row r="1044" spans="1:10" ht="30.75" thickBot="1" x14ac:dyDescent="0.3">
      <c r="A1044" s="8">
        <v>1043</v>
      </c>
      <c r="B1044" s="9" t="s">
        <v>10</v>
      </c>
      <c r="C1044" s="9" t="s">
        <v>772</v>
      </c>
      <c r="D1044" s="10">
        <v>45012</v>
      </c>
      <c r="E1044" s="21">
        <v>998</v>
      </c>
      <c r="F1044" s="11">
        <v>0</v>
      </c>
      <c r="J1044" s="16"/>
    </row>
    <row r="1045" spans="1:10" ht="30.75" thickBot="1" x14ac:dyDescent="0.3">
      <c r="A1045" s="8">
        <v>1044</v>
      </c>
      <c r="B1045" s="9" t="s">
        <v>12</v>
      </c>
      <c r="C1045" s="9" t="s">
        <v>773</v>
      </c>
      <c r="D1045" s="10">
        <v>44654</v>
      </c>
      <c r="E1045" s="21">
        <v>548</v>
      </c>
      <c r="F1045" s="11">
        <v>0</v>
      </c>
      <c r="J1045" s="16"/>
    </row>
    <row r="1046" spans="1:10" ht="30.75" thickBot="1" x14ac:dyDescent="0.3">
      <c r="A1046" s="4">
        <v>1045</v>
      </c>
      <c r="B1046" s="5" t="s">
        <v>14</v>
      </c>
      <c r="C1046" s="5" t="s">
        <v>774</v>
      </c>
      <c r="D1046" s="6">
        <v>44823</v>
      </c>
      <c r="E1046" s="20">
        <v>857</v>
      </c>
      <c r="F1046" s="7">
        <v>0</v>
      </c>
      <c r="J1046" s="16"/>
    </row>
    <row r="1047" spans="1:10" ht="30.75" thickBot="1" x14ac:dyDescent="0.3">
      <c r="A1047" s="4">
        <v>1046</v>
      </c>
      <c r="B1047" s="5" t="s">
        <v>16</v>
      </c>
      <c r="C1047" s="5" t="s">
        <v>775</v>
      </c>
      <c r="D1047" s="6">
        <v>44931</v>
      </c>
      <c r="E1047" s="20">
        <v>755</v>
      </c>
      <c r="F1047" s="7">
        <v>0</v>
      </c>
      <c r="J1047" s="16"/>
    </row>
    <row r="1048" spans="1:10" ht="15.75" thickBot="1" x14ac:dyDescent="0.3">
      <c r="A1048" s="8">
        <v>1047</v>
      </c>
      <c r="B1048" s="9" t="s">
        <v>18</v>
      </c>
      <c r="C1048" s="9" t="s">
        <v>776</v>
      </c>
      <c r="D1048" s="10">
        <v>44732</v>
      </c>
      <c r="E1048" s="21">
        <v>527</v>
      </c>
      <c r="F1048" s="11">
        <v>0</v>
      </c>
      <c r="J1048" s="16"/>
    </row>
    <row r="1049" spans="1:10" ht="15.75" thickBot="1" x14ac:dyDescent="0.3">
      <c r="A1049" s="8">
        <v>1048</v>
      </c>
      <c r="B1049" s="9" t="s">
        <v>20</v>
      </c>
      <c r="C1049" s="9" t="s">
        <v>777</v>
      </c>
      <c r="D1049" s="10">
        <v>44906</v>
      </c>
      <c r="E1049" s="21">
        <v>660</v>
      </c>
      <c r="F1049" s="11">
        <v>0</v>
      </c>
      <c r="J1049" s="16"/>
    </row>
    <row r="1050" spans="1:10" ht="30.75" thickBot="1" x14ac:dyDescent="0.3">
      <c r="A1050" s="4">
        <v>1049</v>
      </c>
      <c r="B1050" s="5" t="s">
        <v>22</v>
      </c>
      <c r="C1050" s="5" t="s">
        <v>778</v>
      </c>
      <c r="D1050" s="6">
        <v>44797</v>
      </c>
      <c r="E1050" s="20">
        <v>606</v>
      </c>
      <c r="F1050" s="7">
        <v>0</v>
      </c>
      <c r="J1050" s="16"/>
    </row>
    <row r="1051" spans="1:10" ht="30.75" thickBot="1" x14ac:dyDescent="0.3">
      <c r="A1051" s="4">
        <v>1050</v>
      </c>
      <c r="B1051" s="5" t="s">
        <v>24</v>
      </c>
      <c r="C1051" s="5" t="s">
        <v>779</v>
      </c>
      <c r="D1051" s="6">
        <v>44673</v>
      </c>
      <c r="E1051" s="20">
        <v>955</v>
      </c>
      <c r="F1051" s="7">
        <v>0</v>
      </c>
      <c r="J1051" s="16"/>
    </row>
    <row r="1052" spans="1:10" ht="30.75" thickBot="1" x14ac:dyDescent="0.3">
      <c r="A1052" s="8">
        <v>1051</v>
      </c>
      <c r="B1052" s="9" t="s">
        <v>6</v>
      </c>
      <c r="C1052" s="9" t="s">
        <v>780</v>
      </c>
      <c r="D1052" s="10">
        <v>44821</v>
      </c>
      <c r="E1052" s="21">
        <v>862</v>
      </c>
      <c r="F1052" s="11">
        <v>0</v>
      </c>
      <c r="J1052" s="16"/>
    </row>
    <row r="1053" spans="1:10" ht="15.75" thickBot="1" x14ac:dyDescent="0.3">
      <c r="A1053" s="8">
        <v>1052</v>
      </c>
      <c r="B1053" s="9" t="s">
        <v>8</v>
      </c>
      <c r="C1053" s="9" t="s">
        <v>781</v>
      </c>
      <c r="D1053" s="10">
        <v>44735</v>
      </c>
      <c r="E1053" s="21">
        <v>422</v>
      </c>
      <c r="F1053" s="11">
        <v>0</v>
      </c>
      <c r="J1053" s="16"/>
    </row>
    <row r="1054" spans="1:10" ht="30.75" thickBot="1" x14ac:dyDescent="0.3">
      <c r="A1054" s="4">
        <v>1053</v>
      </c>
      <c r="B1054" s="5" t="s">
        <v>10</v>
      </c>
      <c r="C1054" s="5" t="s">
        <v>782</v>
      </c>
      <c r="D1054" s="6">
        <v>44667</v>
      </c>
      <c r="E1054" s="20">
        <v>529</v>
      </c>
      <c r="F1054" s="7">
        <v>0</v>
      </c>
      <c r="J1054" s="16"/>
    </row>
    <row r="1055" spans="1:10" ht="30.75" thickBot="1" x14ac:dyDescent="0.3">
      <c r="A1055" s="4">
        <v>1054</v>
      </c>
      <c r="B1055" s="5" t="s">
        <v>12</v>
      </c>
      <c r="C1055" s="5" t="s">
        <v>783</v>
      </c>
      <c r="D1055" s="6">
        <v>45012</v>
      </c>
      <c r="E1055" s="20">
        <v>519</v>
      </c>
      <c r="F1055" s="7">
        <v>0</v>
      </c>
      <c r="J1055" s="16"/>
    </row>
    <row r="1056" spans="1:10" ht="30.75" thickBot="1" x14ac:dyDescent="0.3">
      <c r="A1056" s="8">
        <v>1055</v>
      </c>
      <c r="B1056" s="9" t="s">
        <v>14</v>
      </c>
      <c r="C1056" s="9" t="s">
        <v>784</v>
      </c>
      <c r="D1056" s="10">
        <v>44986</v>
      </c>
      <c r="E1056" s="21">
        <v>426</v>
      </c>
      <c r="F1056" s="11">
        <v>0</v>
      </c>
      <c r="J1056" s="16"/>
    </row>
    <row r="1057" spans="1:10" ht="30.75" thickBot="1" x14ac:dyDescent="0.3">
      <c r="A1057" s="8">
        <v>1056</v>
      </c>
      <c r="B1057" s="9" t="s">
        <v>16</v>
      </c>
      <c r="C1057" s="9" t="s">
        <v>785</v>
      </c>
      <c r="D1057" s="10">
        <v>44713</v>
      </c>
      <c r="E1057" s="21">
        <v>788</v>
      </c>
      <c r="F1057" s="11">
        <v>0</v>
      </c>
      <c r="J1057" s="16"/>
    </row>
    <row r="1058" spans="1:10" ht="15.75" thickBot="1" x14ac:dyDescent="0.3">
      <c r="A1058" s="4">
        <v>1057</v>
      </c>
      <c r="B1058" s="5" t="s">
        <v>18</v>
      </c>
      <c r="C1058" s="5" t="s">
        <v>786</v>
      </c>
      <c r="D1058" s="6">
        <v>44695</v>
      </c>
      <c r="E1058" s="20">
        <v>588</v>
      </c>
      <c r="F1058" s="7">
        <v>0</v>
      </c>
      <c r="J1058" s="16"/>
    </row>
    <row r="1059" spans="1:10" ht="15.75" thickBot="1" x14ac:dyDescent="0.3">
      <c r="A1059" s="4">
        <v>1058</v>
      </c>
      <c r="B1059" s="5" t="s">
        <v>20</v>
      </c>
      <c r="C1059" s="5" t="s">
        <v>787</v>
      </c>
      <c r="D1059" s="6">
        <v>44868</v>
      </c>
      <c r="E1059" s="20">
        <v>953</v>
      </c>
      <c r="F1059" s="7">
        <v>0</v>
      </c>
      <c r="J1059" s="16"/>
    </row>
    <row r="1060" spans="1:10" ht="30.75" thickBot="1" x14ac:dyDescent="0.3">
      <c r="A1060" s="8">
        <v>1059</v>
      </c>
      <c r="B1060" s="9" t="s">
        <v>22</v>
      </c>
      <c r="C1060" s="9" t="s">
        <v>788</v>
      </c>
      <c r="D1060" s="10">
        <v>44930</v>
      </c>
      <c r="E1060" s="21">
        <v>925</v>
      </c>
      <c r="F1060" s="11">
        <v>0</v>
      </c>
      <c r="J1060" s="16"/>
    </row>
    <row r="1061" spans="1:10" ht="30.75" thickBot="1" x14ac:dyDescent="0.3">
      <c r="A1061" s="8">
        <v>1060</v>
      </c>
      <c r="B1061" s="9" t="s">
        <v>24</v>
      </c>
      <c r="C1061" s="9" t="s">
        <v>789</v>
      </c>
      <c r="D1061" s="10">
        <v>44895</v>
      </c>
      <c r="E1061" s="21">
        <v>702</v>
      </c>
      <c r="F1061" s="11">
        <v>0</v>
      </c>
      <c r="J1061" s="16"/>
    </row>
    <row r="1062" spans="1:10" ht="30.75" thickBot="1" x14ac:dyDescent="0.3">
      <c r="A1062" s="4">
        <v>1061</v>
      </c>
      <c r="B1062" s="5" t="s">
        <v>6</v>
      </c>
      <c r="C1062" s="5" t="s">
        <v>790</v>
      </c>
      <c r="D1062" s="6">
        <v>44825</v>
      </c>
      <c r="E1062" s="20">
        <v>477</v>
      </c>
      <c r="F1062" s="7">
        <v>0</v>
      </c>
      <c r="J1062" s="16"/>
    </row>
    <row r="1063" spans="1:10" ht="15.75" thickBot="1" x14ac:dyDescent="0.3">
      <c r="A1063" s="4">
        <v>1062</v>
      </c>
      <c r="B1063" s="5" t="s">
        <v>8</v>
      </c>
      <c r="C1063" s="5" t="s">
        <v>791</v>
      </c>
      <c r="D1063" s="6">
        <v>44625</v>
      </c>
      <c r="E1063" s="20">
        <v>920</v>
      </c>
      <c r="F1063" s="7">
        <v>0</v>
      </c>
      <c r="J1063" s="16"/>
    </row>
    <row r="1064" spans="1:10" ht="30.75" thickBot="1" x14ac:dyDescent="0.3">
      <c r="A1064" s="8">
        <v>1063</v>
      </c>
      <c r="B1064" s="9" t="s">
        <v>10</v>
      </c>
      <c r="C1064" s="9" t="s">
        <v>792</v>
      </c>
      <c r="D1064" s="10">
        <v>44748</v>
      </c>
      <c r="E1064" s="21">
        <v>917</v>
      </c>
      <c r="F1064" s="11">
        <v>0</v>
      </c>
      <c r="J1064" s="16"/>
    </row>
    <row r="1065" spans="1:10" ht="30.75" thickBot="1" x14ac:dyDescent="0.3">
      <c r="A1065" s="8">
        <v>1064</v>
      </c>
      <c r="B1065" s="9" t="s">
        <v>12</v>
      </c>
      <c r="C1065" s="9" t="s">
        <v>793</v>
      </c>
      <c r="D1065" s="10">
        <v>44905</v>
      </c>
      <c r="E1065" s="21">
        <v>501</v>
      </c>
      <c r="F1065" s="11">
        <v>0</v>
      </c>
      <c r="J1065" s="16"/>
    </row>
    <row r="1066" spans="1:10" ht="30.75" thickBot="1" x14ac:dyDescent="0.3">
      <c r="A1066" s="4">
        <v>1065</v>
      </c>
      <c r="B1066" s="5" t="s">
        <v>14</v>
      </c>
      <c r="C1066" s="5" t="s">
        <v>794</v>
      </c>
      <c r="D1066" s="6">
        <v>44974</v>
      </c>
      <c r="E1066" s="20">
        <v>802</v>
      </c>
      <c r="F1066" s="7">
        <v>0</v>
      </c>
      <c r="J1066" s="16"/>
    </row>
    <row r="1067" spans="1:10" ht="30.75" thickBot="1" x14ac:dyDescent="0.3">
      <c r="A1067" s="4">
        <v>1066</v>
      </c>
      <c r="B1067" s="5" t="s">
        <v>16</v>
      </c>
      <c r="C1067" s="5" t="s">
        <v>795</v>
      </c>
      <c r="D1067" s="6">
        <v>44938</v>
      </c>
      <c r="E1067" s="20">
        <v>691</v>
      </c>
      <c r="F1067" s="7">
        <v>0</v>
      </c>
      <c r="J1067" s="16"/>
    </row>
    <row r="1068" spans="1:10" ht="15.75" thickBot="1" x14ac:dyDescent="0.3">
      <c r="A1068" s="8">
        <v>1067</v>
      </c>
      <c r="B1068" s="9" t="s">
        <v>18</v>
      </c>
      <c r="C1068" s="9" t="s">
        <v>796</v>
      </c>
      <c r="D1068" s="10">
        <v>44733</v>
      </c>
      <c r="E1068" s="21">
        <v>522</v>
      </c>
      <c r="F1068" s="11">
        <v>0</v>
      </c>
      <c r="J1068" s="16"/>
    </row>
    <row r="1069" spans="1:10" ht="15.75" thickBot="1" x14ac:dyDescent="0.3">
      <c r="A1069" s="8">
        <v>1068</v>
      </c>
      <c r="B1069" s="9" t="s">
        <v>20</v>
      </c>
      <c r="C1069" s="9" t="s">
        <v>797</v>
      </c>
      <c r="D1069" s="10">
        <v>44967</v>
      </c>
      <c r="E1069" s="21">
        <v>893</v>
      </c>
      <c r="F1069" s="11">
        <v>0</v>
      </c>
      <c r="J1069" s="16"/>
    </row>
    <row r="1070" spans="1:10" ht="30.75" thickBot="1" x14ac:dyDescent="0.3">
      <c r="A1070" s="4">
        <v>1069</v>
      </c>
      <c r="B1070" s="5" t="s">
        <v>22</v>
      </c>
      <c r="C1070" s="5" t="s">
        <v>798</v>
      </c>
      <c r="D1070" s="6">
        <v>44845</v>
      </c>
      <c r="E1070" s="20">
        <v>912</v>
      </c>
      <c r="F1070" s="7">
        <v>0</v>
      </c>
      <c r="J1070" s="16"/>
    </row>
    <row r="1071" spans="1:10" ht="30.75" thickBot="1" x14ac:dyDescent="0.3">
      <c r="A1071" s="4">
        <v>1070</v>
      </c>
      <c r="B1071" s="5" t="s">
        <v>24</v>
      </c>
      <c r="C1071" s="5" t="s">
        <v>799</v>
      </c>
      <c r="D1071" s="6">
        <v>44715</v>
      </c>
      <c r="E1071" s="20">
        <v>794</v>
      </c>
      <c r="F1071" s="7">
        <v>0</v>
      </c>
      <c r="J1071" s="16"/>
    </row>
    <row r="1072" spans="1:10" ht="30.75" thickBot="1" x14ac:dyDescent="0.3">
      <c r="A1072" s="8">
        <v>1071</v>
      </c>
      <c r="B1072" s="9" t="s">
        <v>6</v>
      </c>
      <c r="C1072" s="9" t="s">
        <v>800</v>
      </c>
      <c r="D1072" s="10">
        <v>44929</v>
      </c>
      <c r="E1072" s="21">
        <v>489</v>
      </c>
      <c r="F1072" s="11">
        <v>0</v>
      </c>
      <c r="J1072" s="16"/>
    </row>
    <row r="1073" spans="1:10" ht="15.75" thickBot="1" x14ac:dyDescent="0.3">
      <c r="A1073" s="8">
        <v>1072</v>
      </c>
      <c r="B1073" s="9" t="s">
        <v>8</v>
      </c>
      <c r="C1073" s="9" t="s">
        <v>801</v>
      </c>
      <c r="D1073" s="10">
        <v>44856</v>
      </c>
      <c r="E1073" s="21">
        <v>982</v>
      </c>
      <c r="F1073" s="11">
        <v>0</v>
      </c>
      <c r="J1073" s="16"/>
    </row>
    <row r="1074" spans="1:10" ht="30.75" thickBot="1" x14ac:dyDescent="0.3">
      <c r="A1074" s="4">
        <v>1073</v>
      </c>
      <c r="B1074" s="5" t="s">
        <v>10</v>
      </c>
      <c r="C1074" s="5" t="s">
        <v>802</v>
      </c>
      <c r="D1074" s="6">
        <v>44690</v>
      </c>
      <c r="E1074" s="20">
        <v>543</v>
      </c>
      <c r="F1074" s="7">
        <v>0</v>
      </c>
      <c r="J1074" s="16"/>
    </row>
    <row r="1075" spans="1:10" ht="30.75" thickBot="1" x14ac:dyDescent="0.3">
      <c r="A1075" s="4">
        <v>1074</v>
      </c>
      <c r="B1075" s="5" t="s">
        <v>12</v>
      </c>
      <c r="C1075" s="5" t="s">
        <v>803</v>
      </c>
      <c r="D1075" s="6">
        <v>44930</v>
      </c>
      <c r="E1075" s="20">
        <v>415</v>
      </c>
      <c r="F1075" s="7">
        <v>0</v>
      </c>
      <c r="J1075" s="16"/>
    </row>
    <row r="1076" spans="1:10" ht="30.75" thickBot="1" x14ac:dyDescent="0.3">
      <c r="A1076" s="8">
        <v>1075</v>
      </c>
      <c r="B1076" s="9" t="s">
        <v>14</v>
      </c>
      <c r="C1076" s="9" t="s">
        <v>804</v>
      </c>
      <c r="D1076" s="10">
        <v>44618</v>
      </c>
      <c r="E1076" s="21">
        <v>780</v>
      </c>
      <c r="F1076" s="11">
        <v>0</v>
      </c>
      <c r="J1076" s="16"/>
    </row>
    <row r="1077" spans="1:10" ht="30.75" thickBot="1" x14ac:dyDescent="0.3">
      <c r="A1077" s="8">
        <v>1076</v>
      </c>
      <c r="B1077" s="9" t="s">
        <v>16</v>
      </c>
      <c r="C1077" s="9" t="s">
        <v>805</v>
      </c>
      <c r="D1077" s="10">
        <v>44798</v>
      </c>
      <c r="E1077" s="21">
        <v>927</v>
      </c>
      <c r="F1077" s="11">
        <v>0</v>
      </c>
      <c r="J1077" s="16"/>
    </row>
    <row r="1078" spans="1:10" ht="15.75" thickBot="1" x14ac:dyDescent="0.3">
      <c r="A1078" s="4">
        <v>1077</v>
      </c>
      <c r="B1078" s="5" t="s">
        <v>18</v>
      </c>
      <c r="C1078" s="5" t="s">
        <v>806</v>
      </c>
      <c r="D1078" s="6">
        <v>44664</v>
      </c>
      <c r="E1078" s="20">
        <v>827</v>
      </c>
      <c r="F1078" s="7">
        <v>0</v>
      </c>
      <c r="J1078" s="16"/>
    </row>
    <row r="1079" spans="1:10" ht="15.75" thickBot="1" x14ac:dyDescent="0.3">
      <c r="A1079" s="4">
        <v>1078</v>
      </c>
      <c r="B1079" s="5" t="s">
        <v>20</v>
      </c>
      <c r="C1079" s="5" t="s">
        <v>807</v>
      </c>
      <c r="D1079" s="6">
        <v>44811</v>
      </c>
      <c r="E1079" s="20">
        <v>847</v>
      </c>
      <c r="F1079" s="7">
        <v>0</v>
      </c>
      <c r="J1079" s="16"/>
    </row>
    <row r="1080" spans="1:10" ht="30.75" thickBot="1" x14ac:dyDescent="0.3">
      <c r="A1080" s="8">
        <v>1079</v>
      </c>
      <c r="B1080" s="9" t="s">
        <v>22</v>
      </c>
      <c r="C1080" s="9" t="s">
        <v>808</v>
      </c>
      <c r="D1080" s="10">
        <v>44772</v>
      </c>
      <c r="E1080" s="21">
        <v>828</v>
      </c>
      <c r="F1080" s="11">
        <v>0</v>
      </c>
      <c r="J1080" s="16"/>
    </row>
    <row r="1081" spans="1:10" ht="30.75" thickBot="1" x14ac:dyDescent="0.3">
      <c r="A1081" s="8">
        <v>1080</v>
      </c>
      <c r="B1081" s="9" t="s">
        <v>24</v>
      </c>
      <c r="C1081" s="9" t="s">
        <v>809</v>
      </c>
      <c r="D1081" s="10">
        <v>44939</v>
      </c>
      <c r="E1081" s="21">
        <v>825</v>
      </c>
      <c r="F1081" s="11">
        <v>0</v>
      </c>
      <c r="J1081" s="16"/>
    </row>
    <row r="1082" spans="1:10" ht="30.75" thickBot="1" x14ac:dyDescent="0.3">
      <c r="A1082" s="4">
        <v>1081</v>
      </c>
      <c r="B1082" s="5" t="s">
        <v>6</v>
      </c>
      <c r="C1082" s="5" t="s">
        <v>810</v>
      </c>
      <c r="D1082" s="6">
        <v>44960</v>
      </c>
      <c r="E1082" s="20">
        <v>614</v>
      </c>
      <c r="F1082" s="7">
        <v>0</v>
      </c>
      <c r="J1082" s="16"/>
    </row>
    <row r="1083" spans="1:10" ht="15.75" thickBot="1" x14ac:dyDescent="0.3">
      <c r="A1083" s="4">
        <v>1082</v>
      </c>
      <c r="B1083" s="5" t="s">
        <v>8</v>
      </c>
      <c r="C1083" s="5" t="s">
        <v>811</v>
      </c>
      <c r="D1083" s="6">
        <v>44649</v>
      </c>
      <c r="E1083" s="20">
        <v>896</v>
      </c>
      <c r="F1083" s="7">
        <v>0</v>
      </c>
      <c r="J1083" s="16"/>
    </row>
    <row r="1084" spans="1:10" ht="30.75" thickBot="1" x14ac:dyDescent="0.3">
      <c r="A1084" s="8">
        <v>1083</v>
      </c>
      <c r="B1084" s="9" t="s">
        <v>10</v>
      </c>
      <c r="C1084" s="9" t="s">
        <v>812</v>
      </c>
      <c r="D1084" s="10">
        <v>44751</v>
      </c>
      <c r="E1084" s="21">
        <v>522</v>
      </c>
      <c r="F1084" s="11">
        <v>0</v>
      </c>
      <c r="J1084" s="16"/>
    </row>
    <row r="1085" spans="1:10" ht="30.75" thickBot="1" x14ac:dyDescent="0.3">
      <c r="A1085" s="8">
        <v>1084</v>
      </c>
      <c r="B1085" s="9" t="s">
        <v>12</v>
      </c>
      <c r="C1085" s="9" t="s">
        <v>813</v>
      </c>
      <c r="D1085" s="10">
        <v>44672</v>
      </c>
      <c r="E1085" s="21">
        <v>605</v>
      </c>
      <c r="F1085" s="11">
        <v>0</v>
      </c>
      <c r="J1085" s="16"/>
    </row>
    <row r="1086" spans="1:10" ht="30.75" thickBot="1" x14ac:dyDescent="0.3">
      <c r="A1086" s="4">
        <v>1085</v>
      </c>
      <c r="B1086" s="5" t="s">
        <v>14</v>
      </c>
      <c r="C1086" s="5" t="s">
        <v>814</v>
      </c>
      <c r="D1086" s="6">
        <v>44645</v>
      </c>
      <c r="E1086" s="20">
        <v>993</v>
      </c>
      <c r="F1086" s="7">
        <v>0</v>
      </c>
      <c r="J1086" s="16"/>
    </row>
    <row r="1087" spans="1:10" ht="30.75" thickBot="1" x14ac:dyDescent="0.3">
      <c r="A1087" s="4">
        <v>1086</v>
      </c>
      <c r="B1087" s="5" t="s">
        <v>16</v>
      </c>
      <c r="C1087" s="5" t="s">
        <v>815</v>
      </c>
      <c r="D1087" s="6">
        <v>44726</v>
      </c>
      <c r="E1087" s="20">
        <v>407</v>
      </c>
      <c r="F1087" s="7">
        <v>0</v>
      </c>
      <c r="J1087" s="16"/>
    </row>
    <row r="1088" spans="1:10" ht="15.75" thickBot="1" x14ac:dyDescent="0.3">
      <c r="A1088" s="8">
        <v>1087</v>
      </c>
      <c r="B1088" s="9" t="s">
        <v>18</v>
      </c>
      <c r="C1088" s="9" t="s">
        <v>816</v>
      </c>
      <c r="D1088" s="10">
        <v>44987</v>
      </c>
      <c r="E1088" s="21">
        <v>843</v>
      </c>
      <c r="F1088" s="11">
        <v>0</v>
      </c>
      <c r="J1088" s="16"/>
    </row>
    <row r="1089" spans="1:10" ht="15.75" thickBot="1" x14ac:dyDescent="0.3">
      <c r="A1089" s="8">
        <v>1088</v>
      </c>
      <c r="B1089" s="9" t="s">
        <v>20</v>
      </c>
      <c r="C1089" s="9" t="s">
        <v>817</v>
      </c>
      <c r="D1089" s="10">
        <v>44743</v>
      </c>
      <c r="E1089" s="21">
        <v>852</v>
      </c>
      <c r="F1089" s="11">
        <v>0</v>
      </c>
      <c r="J1089" s="16"/>
    </row>
    <row r="1090" spans="1:10" ht="30.75" thickBot="1" x14ac:dyDescent="0.3">
      <c r="A1090" s="4">
        <v>1089</v>
      </c>
      <c r="B1090" s="5" t="s">
        <v>22</v>
      </c>
      <c r="C1090" s="5" t="s">
        <v>818</v>
      </c>
      <c r="D1090" s="6">
        <v>44916</v>
      </c>
      <c r="E1090" s="20">
        <v>459</v>
      </c>
      <c r="F1090" s="7">
        <v>0</v>
      </c>
      <c r="J1090" s="16"/>
    </row>
    <row r="1091" spans="1:10" ht="30.75" thickBot="1" x14ac:dyDescent="0.3">
      <c r="A1091" s="4">
        <v>1090</v>
      </c>
      <c r="B1091" s="5" t="s">
        <v>24</v>
      </c>
      <c r="C1091" s="5" t="s">
        <v>819</v>
      </c>
      <c r="D1091" s="6">
        <v>44839</v>
      </c>
      <c r="E1091" s="20">
        <v>668</v>
      </c>
      <c r="F1091" s="7">
        <v>0</v>
      </c>
      <c r="J1091" s="16"/>
    </row>
    <row r="1092" spans="1:10" ht="30.75" thickBot="1" x14ac:dyDescent="0.3">
      <c r="A1092" s="8">
        <v>1091</v>
      </c>
      <c r="B1092" s="9" t="s">
        <v>6</v>
      </c>
      <c r="C1092" s="9" t="s">
        <v>820</v>
      </c>
      <c r="D1092" s="10">
        <v>44834</v>
      </c>
      <c r="E1092" s="21">
        <v>464</v>
      </c>
      <c r="F1092" s="11">
        <v>0</v>
      </c>
      <c r="J1092" s="16"/>
    </row>
    <row r="1093" spans="1:10" ht="15.75" thickBot="1" x14ac:dyDescent="0.3">
      <c r="A1093" s="8">
        <v>1092</v>
      </c>
      <c r="B1093" s="9" t="s">
        <v>8</v>
      </c>
      <c r="C1093" s="9" t="s">
        <v>821</v>
      </c>
      <c r="D1093" s="10">
        <v>44777</v>
      </c>
      <c r="E1093" s="21">
        <v>867</v>
      </c>
      <c r="F1093" s="11">
        <v>0</v>
      </c>
      <c r="J1093" s="16"/>
    </row>
    <row r="1094" spans="1:10" ht="30.75" thickBot="1" x14ac:dyDescent="0.3">
      <c r="A1094" s="4">
        <v>1093</v>
      </c>
      <c r="B1094" s="5" t="s">
        <v>10</v>
      </c>
      <c r="C1094" s="5" t="s">
        <v>822</v>
      </c>
      <c r="D1094" s="6">
        <v>44952</v>
      </c>
      <c r="E1094" s="20">
        <v>699</v>
      </c>
      <c r="F1094" s="7">
        <v>0</v>
      </c>
      <c r="J1094" s="16"/>
    </row>
    <row r="1095" spans="1:10" ht="30.75" thickBot="1" x14ac:dyDescent="0.3">
      <c r="A1095" s="4">
        <v>1094</v>
      </c>
      <c r="B1095" s="5" t="s">
        <v>12</v>
      </c>
      <c r="C1095" s="5" t="s">
        <v>823</v>
      </c>
      <c r="D1095" s="6">
        <v>44783</v>
      </c>
      <c r="E1095" s="20">
        <v>933</v>
      </c>
      <c r="F1095" s="7">
        <v>0</v>
      </c>
      <c r="J1095" s="16"/>
    </row>
    <row r="1096" spans="1:10" ht="30.75" thickBot="1" x14ac:dyDescent="0.3">
      <c r="A1096" s="8">
        <v>1095</v>
      </c>
      <c r="B1096" s="9" t="s">
        <v>14</v>
      </c>
      <c r="C1096" s="9" t="s">
        <v>824</v>
      </c>
      <c r="D1096" s="10">
        <v>44797</v>
      </c>
      <c r="E1096" s="21">
        <v>841</v>
      </c>
      <c r="F1096" s="11">
        <v>0</v>
      </c>
      <c r="J1096" s="16"/>
    </row>
    <row r="1097" spans="1:10" ht="30.75" thickBot="1" x14ac:dyDescent="0.3">
      <c r="A1097" s="8">
        <v>1096</v>
      </c>
      <c r="B1097" s="9" t="s">
        <v>16</v>
      </c>
      <c r="C1097" s="9" t="s">
        <v>825</v>
      </c>
      <c r="D1097" s="10">
        <v>44598</v>
      </c>
      <c r="E1097" s="21">
        <v>674</v>
      </c>
      <c r="F1097" s="11">
        <v>0</v>
      </c>
      <c r="J1097" s="16"/>
    </row>
    <row r="1098" spans="1:10" ht="15.75" thickBot="1" x14ac:dyDescent="0.3">
      <c r="A1098" s="4">
        <v>1097</v>
      </c>
      <c r="B1098" s="5" t="s">
        <v>18</v>
      </c>
      <c r="C1098" s="5" t="s">
        <v>826</v>
      </c>
      <c r="D1098" s="6">
        <v>44922</v>
      </c>
      <c r="E1098" s="20">
        <v>579</v>
      </c>
      <c r="F1098" s="7">
        <v>0</v>
      </c>
      <c r="J1098" s="16"/>
    </row>
    <row r="1099" spans="1:10" ht="15.75" thickBot="1" x14ac:dyDescent="0.3">
      <c r="A1099" s="4">
        <v>1098</v>
      </c>
      <c r="B1099" s="5" t="s">
        <v>20</v>
      </c>
      <c r="C1099" s="5" t="s">
        <v>827</v>
      </c>
      <c r="D1099" s="6">
        <v>44890</v>
      </c>
      <c r="E1099" s="20">
        <v>404</v>
      </c>
      <c r="F1099" s="7">
        <v>0</v>
      </c>
      <c r="J1099" s="16"/>
    </row>
    <row r="1100" spans="1:10" ht="30.75" thickBot="1" x14ac:dyDescent="0.3">
      <c r="A1100" s="8">
        <v>1099</v>
      </c>
      <c r="B1100" s="9" t="s">
        <v>22</v>
      </c>
      <c r="C1100" s="9" t="s">
        <v>828</v>
      </c>
      <c r="D1100" s="10">
        <v>44674</v>
      </c>
      <c r="E1100" s="21">
        <v>888</v>
      </c>
      <c r="F1100" s="11">
        <v>0</v>
      </c>
      <c r="J1100" s="16"/>
    </row>
    <row r="1101" spans="1:10" ht="30.75" thickBot="1" x14ac:dyDescent="0.3">
      <c r="A1101" s="8">
        <v>1100</v>
      </c>
      <c r="B1101" s="9" t="s">
        <v>24</v>
      </c>
      <c r="C1101" s="9" t="s">
        <v>829</v>
      </c>
      <c r="D1101" s="10">
        <v>44922</v>
      </c>
      <c r="E1101" s="21">
        <v>428</v>
      </c>
      <c r="F1101" s="11">
        <v>0</v>
      </c>
      <c r="J1101" s="16"/>
    </row>
    <row r="1102" spans="1:10" ht="30.75" thickBot="1" x14ac:dyDescent="0.3">
      <c r="A1102" s="4">
        <v>1101</v>
      </c>
      <c r="B1102" s="5" t="s">
        <v>6</v>
      </c>
      <c r="C1102" s="5" t="s">
        <v>830</v>
      </c>
      <c r="D1102" s="6">
        <v>44771</v>
      </c>
      <c r="E1102" s="20">
        <v>965</v>
      </c>
      <c r="F1102" s="7">
        <v>0</v>
      </c>
      <c r="J1102" s="16"/>
    </row>
    <row r="1103" spans="1:10" ht="15.75" thickBot="1" x14ac:dyDescent="0.3">
      <c r="A1103" s="4">
        <v>1102</v>
      </c>
      <c r="B1103" s="5" t="s">
        <v>8</v>
      </c>
      <c r="C1103" s="5" t="s">
        <v>831</v>
      </c>
      <c r="D1103" s="6">
        <v>44585</v>
      </c>
      <c r="E1103" s="20">
        <v>559</v>
      </c>
      <c r="F1103" s="7">
        <v>0</v>
      </c>
      <c r="J1103" s="16"/>
    </row>
    <row r="1104" spans="1:10" ht="30.75" thickBot="1" x14ac:dyDescent="0.3">
      <c r="A1104" s="8">
        <v>1103</v>
      </c>
      <c r="B1104" s="9" t="s">
        <v>10</v>
      </c>
      <c r="C1104" s="9" t="s">
        <v>832</v>
      </c>
      <c r="D1104" s="10">
        <v>45017</v>
      </c>
      <c r="E1104" s="21">
        <v>460</v>
      </c>
      <c r="F1104" s="11">
        <v>0</v>
      </c>
      <c r="J1104" s="16"/>
    </row>
    <row r="1105" spans="1:10" ht="30.75" thickBot="1" x14ac:dyDescent="0.3">
      <c r="A1105" s="8">
        <v>1104</v>
      </c>
      <c r="B1105" s="9" t="s">
        <v>12</v>
      </c>
      <c r="C1105" s="9" t="s">
        <v>833</v>
      </c>
      <c r="D1105" s="10">
        <v>44752</v>
      </c>
      <c r="E1105" s="21">
        <v>853</v>
      </c>
      <c r="F1105" s="11">
        <v>0</v>
      </c>
      <c r="J1105" s="16"/>
    </row>
    <row r="1106" spans="1:10" ht="30.75" thickBot="1" x14ac:dyDescent="0.3">
      <c r="A1106" s="4">
        <v>1105</v>
      </c>
      <c r="B1106" s="5" t="s">
        <v>14</v>
      </c>
      <c r="C1106" s="5" t="s">
        <v>834</v>
      </c>
      <c r="D1106" s="6">
        <v>44792</v>
      </c>
      <c r="E1106" s="20">
        <v>446</v>
      </c>
      <c r="F1106" s="7">
        <v>0</v>
      </c>
      <c r="J1106" s="16"/>
    </row>
    <row r="1107" spans="1:10" ht="30.75" thickBot="1" x14ac:dyDescent="0.3">
      <c r="A1107" s="4">
        <v>1106</v>
      </c>
      <c r="B1107" s="5" t="s">
        <v>16</v>
      </c>
      <c r="C1107" s="5" t="s">
        <v>835</v>
      </c>
      <c r="D1107" s="6">
        <v>44660</v>
      </c>
      <c r="E1107" s="20">
        <v>528</v>
      </c>
      <c r="F1107" s="7">
        <v>0</v>
      </c>
      <c r="J1107" s="16"/>
    </row>
    <row r="1108" spans="1:10" ht="15.75" thickBot="1" x14ac:dyDescent="0.3">
      <c r="A1108" s="8">
        <v>1107</v>
      </c>
      <c r="B1108" s="9" t="s">
        <v>18</v>
      </c>
      <c r="C1108" s="9" t="s">
        <v>836</v>
      </c>
      <c r="D1108" s="10">
        <v>45047</v>
      </c>
      <c r="E1108" s="21">
        <v>939</v>
      </c>
      <c r="F1108" s="11">
        <v>0</v>
      </c>
      <c r="J1108" s="16"/>
    </row>
    <row r="1109" spans="1:10" ht="15.75" thickBot="1" x14ac:dyDescent="0.3">
      <c r="A1109" s="8">
        <v>1108</v>
      </c>
      <c r="B1109" s="9" t="s">
        <v>20</v>
      </c>
      <c r="C1109" s="9" t="s">
        <v>837</v>
      </c>
      <c r="D1109" s="10">
        <v>44822</v>
      </c>
      <c r="E1109" s="21">
        <v>829</v>
      </c>
      <c r="F1109" s="11">
        <v>0</v>
      </c>
      <c r="J1109" s="16"/>
    </row>
    <row r="1110" spans="1:10" ht="30.75" thickBot="1" x14ac:dyDescent="0.3">
      <c r="A1110" s="4">
        <v>1109</v>
      </c>
      <c r="B1110" s="5" t="s">
        <v>22</v>
      </c>
      <c r="C1110" s="5" t="s">
        <v>838</v>
      </c>
      <c r="D1110" s="6">
        <v>44637</v>
      </c>
      <c r="E1110" s="20">
        <v>413</v>
      </c>
      <c r="F1110" s="7">
        <v>0</v>
      </c>
      <c r="J1110" s="16"/>
    </row>
    <row r="1111" spans="1:10" ht="30.75" thickBot="1" x14ac:dyDescent="0.3">
      <c r="A1111" s="4">
        <v>1110</v>
      </c>
      <c r="B1111" s="5" t="s">
        <v>24</v>
      </c>
      <c r="C1111" s="5" t="s">
        <v>839</v>
      </c>
      <c r="D1111" s="6">
        <v>44562</v>
      </c>
      <c r="E1111" s="20">
        <v>969</v>
      </c>
      <c r="F1111" s="7">
        <v>0</v>
      </c>
      <c r="J1111" s="16"/>
    </row>
    <row r="1112" spans="1:10" ht="30.75" thickBot="1" x14ac:dyDescent="0.3">
      <c r="A1112" s="8">
        <v>1111</v>
      </c>
      <c r="B1112" s="9" t="s">
        <v>6</v>
      </c>
      <c r="C1112" s="9" t="s">
        <v>840</v>
      </c>
      <c r="D1112" s="10">
        <v>44894</v>
      </c>
      <c r="E1112" s="21">
        <v>854</v>
      </c>
      <c r="F1112" s="11">
        <v>0</v>
      </c>
      <c r="J1112" s="16"/>
    </row>
    <row r="1113" spans="1:10" ht="15.75" thickBot="1" x14ac:dyDescent="0.3">
      <c r="A1113" s="8">
        <v>1112</v>
      </c>
      <c r="B1113" s="9" t="s">
        <v>8</v>
      </c>
      <c r="C1113" s="9" t="s">
        <v>841</v>
      </c>
      <c r="D1113" s="10">
        <v>44961</v>
      </c>
      <c r="E1113" s="21">
        <v>919</v>
      </c>
      <c r="F1113" s="11">
        <v>0</v>
      </c>
      <c r="J1113" s="16"/>
    </row>
    <row r="1114" spans="1:10" ht="30.75" thickBot="1" x14ac:dyDescent="0.3">
      <c r="A1114" s="4">
        <v>1113</v>
      </c>
      <c r="B1114" s="5" t="s">
        <v>10</v>
      </c>
      <c r="C1114" s="5" t="s">
        <v>842</v>
      </c>
      <c r="D1114" s="6">
        <v>44890</v>
      </c>
      <c r="E1114" s="20">
        <v>920</v>
      </c>
      <c r="F1114" s="7">
        <v>0</v>
      </c>
      <c r="J1114" s="16"/>
    </row>
    <row r="1115" spans="1:10" ht="30.75" thickBot="1" x14ac:dyDescent="0.3">
      <c r="A1115" s="4">
        <v>1114</v>
      </c>
      <c r="B1115" s="5" t="s">
        <v>12</v>
      </c>
      <c r="C1115" s="5" t="s">
        <v>843</v>
      </c>
      <c r="D1115" s="6">
        <v>44996</v>
      </c>
      <c r="E1115" s="20">
        <v>648</v>
      </c>
      <c r="F1115" s="7">
        <v>0</v>
      </c>
      <c r="J1115" s="16"/>
    </row>
    <row r="1116" spans="1:10" ht="30.75" thickBot="1" x14ac:dyDescent="0.3">
      <c r="A1116" s="8">
        <v>1115</v>
      </c>
      <c r="B1116" s="9" t="s">
        <v>14</v>
      </c>
      <c r="C1116" s="9" t="s">
        <v>844</v>
      </c>
      <c r="D1116" s="10">
        <v>44726</v>
      </c>
      <c r="E1116" s="21">
        <v>760</v>
      </c>
      <c r="F1116" s="11">
        <v>0</v>
      </c>
      <c r="J1116" s="16"/>
    </row>
    <row r="1117" spans="1:10" ht="30.75" thickBot="1" x14ac:dyDescent="0.3">
      <c r="A1117" s="8">
        <v>1116</v>
      </c>
      <c r="B1117" s="9" t="s">
        <v>16</v>
      </c>
      <c r="C1117" s="9" t="s">
        <v>845</v>
      </c>
      <c r="D1117" s="10">
        <v>45047</v>
      </c>
      <c r="E1117" s="21">
        <v>589</v>
      </c>
      <c r="F1117" s="11">
        <v>0</v>
      </c>
      <c r="J1117" s="16"/>
    </row>
    <row r="1118" spans="1:10" ht="15.75" thickBot="1" x14ac:dyDescent="0.3">
      <c r="A1118" s="4">
        <v>1117</v>
      </c>
      <c r="B1118" s="5" t="s">
        <v>18</v>
      </c>
      <c r="C1118" s="5" t="s">
        <v>846</v>
      </c>
      <c r="D1118" s="6">
        <v>44890</v>
      </c>
      <c r="E1118" s="20">
        <v>508</v>
      </c>
      <c r="F1118" s="7">
        <v>0</v>
      </c>
      <c r="J1118" s="16"/>
    </row>
    <row r="1119" spans="1:10" ht="15.75" thickBot="1" x14ac:dyDescent="0.3">
      <c r="A1119" s="4">
        <v>1118</v>
      </c>
      <c r="B1119" s="5" t="s">
        <v>20</v>
      </c>
      <c r="C1119" s="5" t="s">
        <v>847</v>
      </c>
      <c r="D1119" s="6">
        <v>44800</v>
      </c>
      <c r="E1119" s="20">
        <v>895</v>
      </c>
      <c r="F1119" s="7">
        <v>0</v>
      </c>
      <c r="J1119" s="16"/>
    </row>
    <row r="1120" spans="1:10" ht="30.75" thickBot="1" x14ac:dyDescent="0.3">
      <c r="A1120" s="8">
        <v>1119</v>
      </c>
      <c r="B1120" s="9" t="s">
        <v>22</v>
      </c>
      <c r="C1120" s="9" t="s">
        <v>848</v>
      </c>
      <c r="D1120" s="10">
        <v>44903</v>
      </c>
      <c r="E1120" s="21">
        <v>728</v>
      </c>
      <c r="F1120" s="11">
        <v>0</v>
      </c>
      <c r="J1120" s="16"/>
    </row>
    <row r="1121" spans="1:10" ht="30.75" thickBot="1" x14ac:dyDescent="0.3">
      <c r="A1121" s="8">
        <v>1120</v>
      </c>
      <c r="B1121" s="9" t="s">
        <v>24</v>
      </c>
      <c r="C1121" s="9" t="s">
        <v>849</v>
      </c>
      <c r="D1121" s="10">
        <v>44900</v>
      </c>
      <c r="E1121" s="21">
        <v>908</v>
      </c>
      <c r="F1121" s="11">
        <v>0</v>
      </c>
      <c r="J1121" s="16"/>
    </row>
    <row r="1122" spans="1:10" ht="30.75" thickBot="1" x14ac:dyDescent="0.3">
      <c r="A1122" s="4">
        <v>1121</v>
      </c>
      <c r="B1122" s="5" t="s">
        <v>6</v>
      </c>
      <c r="C1122" s="5" t="s">
        <v>850</v>
      </c>
      <c r="D1122" s="6">
        <v>44753</v>
      </c>
      <c r="E1122" s="20">
        <v>879</v>
      </c>
      <c r="F1122" s="7">
        <v>0</v>
      </c>
      <c r="J1122" s="16"/>
    </row>
    <row r="1123" spans="1:10" ht="15.75" thickBot="1" x14ac:dyDescent="0.3">
      <c r="A1123" s="4">
        <v>1122</v>
      </c>
      <c r="B1123" s="5" t="s">
        <v>8</v>
      </c>
      <c r="C1123" s="5" t="s">
        <v>851</v>
      </c>
      <c r="D1123" s="6">
        <v>44793</v>
      </c>
      <c r="E1123" s="20">
        <v>686</v>
      </c>
      <c r="F1123" s="7">
        <v>0</v>
      </c>
      <c r="J1123" s="16"/>
    </row>
    <row r="1124" spans="1:10" ht="30.75" thickBot="1" x14ac:dyDescent="0.3">
      <c r="A1124" s="8">
        <v>1123</v>
      </c>
      <c r="B1124" s="9" t="s">
        <v>10</v>
      </c>
      <c r="C1124" s="9" t="s">
        <v>852</v>
      </c>
      <c r="D1124" s="10">
        <v>44732</v>
      </c>
      <c r="E1124" s="21">
        <v>825</v>
      </c>
      <c r="F1124" s="11">
        <v>0</v>
      </c>
      <c r="J1124" s="16"/>
    </row>
    <row r="1125" spans="1:10" ht="30.75" thickBot="1" x14ac:dyDescent="0.3">
      <c r="A1125" s="8">
        <v>1124</v>
      </c>
      <c r="B1125" s="9" t="s">
        <v>12</v>
      </c>
      <c r="C1125" s="9" t="s">
        <v>853</v>
      </c>
      <c r="D1125" s="10">
        <v>44939</v>
      </c>
      <c r="E1125" s="21">
        <v>585</v>
      </c>
      <c r="F1125" s="11">
        <v>0</v>
      </c>
      <c r="J1125" s="16"/>
    </row>
    <row r="1126" spans="1:10" ht="30.75" thickBot="1" x14ac:dyDescent="0.3">
      <c r="A1126" s="4">
        <v>1125</v>
      </c>
      <c r="B1126" s="5" t="s">
        <v>14</v>
      </c>
      <c r="C1126" s="5" t="s">
        <v>854</v>
      </c>
      <c r="D1126" s="6">
        <v>44891</v>
      </c>
      <c r="E1126" s="20">
        <v>683</v>
      </c>
      <c r="F1126" s="7">
        <v>0</v>
      </c>
      <c r="J1126" s="16"/>
    </row>
    <row r="1127" spans="1:10" ht="30.75" thickBot="1" x14ac:dyDescent="0.3">
      <c r="A1127" s="4">
        <v>1126</v>
      </c>
      <c r="B1127" s="5" t="s">
        <v>16</v>
      </c>
      <c r="C1127" s="5" t="s">
        <v>855</v>
      </c>
      <c r="D1127" s="6">
        <v>44902</v>
      </c>
      <c r="E1127" s="20">
        <v>511</v>
      </c>
      <c r="F1127" s="7">
        <v>0</v>
      </c>
      <c r="J1127" s="16"/>
    </row>
    <row r="1128" spans="1:10" ht="15.75" thickBot="1" x14ac:dyDescent="0.3">
      <c r="A1128" s="8">
        <v>1127</v>
      </c>
      <c r="B1128" s="9" t="s">
        <v>18</v>
      </c>
      <c r="C1128" s="9" t="s">
        <v>856</v>
      </c>
      <c r="D1128" s="10">
        <v>44772</v>
      </c>
      <c r="E1128" s="21">
        <v>812</v>
      </c>
      <c r="F1128" s="11">
        <v>0</v>
      </c>
      <c r="J1128" s="16"/>
    </row>
    <row r="1129" spans="1:10" ht="15.75" thickBot="1" x14ac:dyDescent="0.3">
      <c r="A1129" s="8">
        <v>1128</v>
      </c>
      <c r="B1129" s="9" t="s">
        <v>20</v>
      </c>
      <c r="C1129" s="9" t="s">
        <v>857</v>
      </c>
      <c r="D1129" s="10">
        <v>44983</v>
      </c>
      <c r="E1129" s="21">
        <v>716</v>
      </c>
      <c r="F1129" s="11">
        <v>0</v>
      </c>
      <c r="J1129" s="16"/>
    </row>
    <row r="1130" spans="1:10" ht="30.75" thickBot="1" x14ac:dyDescent="0.3">
      <c r="A1130" s="4">
        <v>1129</v>
      </c>
      <c r="B1130" s="5" t="s">
        <v>22</v>
      </c>
      <c r="C1130" s="5" t="s">
        <v>858</v>
      </c>
      <c r="D1130" s="6">
        <v>44900</v>
      </c>
      <c r="E1130" s="20">
        <v>878</v>
      </c>
      <c r="F1130" s="7">
        <v>0</v>
      </c>
      <c r="J1130" s="16"/>
    </row>
    <row r="1131" spans="1:10" ht="30.75" thickBot="1" x14ac:dyDescent="0.3">
      <c r="A1131" s="4">
        <v>1130</v>
      </c>
      <c r="B1131" s="5" t="s">
        <v>24</v>
      </c>
      <c r="C1131" s="5" t="s">
        <v>859</v>
      </c>
      <c r="D1131" s="6">
        <v>44977</v>
      </c>
      <c r="E1131" s="20">
        <v>643</v>
      </c>
      <c r="F1131" s="7">
        <v>0</v>
      </c>
      <c r="J1131" s="16"/>
    </row>
    <row r="1132" spans="1:10" ht="30.75" thickBot="1" x14ac:dyDescent="0.3">
      <c r="A1132" s="8">
        <v>1131</v>
      </c>
      <c r="B1132" s="9" t="s">
        <v>6</v>
      </c>
      <c r="C1132" s="9" t="s">
        <v>860</v>
      </c>
      <c r="D1132" s="10">
        <v>44762</v>
      </c>
      <c r="E1132" s="21">
        <v>799</v>
      </c>
      <c r="F1132" s="11">
        <v>0</v>
      </c>
      <c r="J1132" s="16"/>
    </row>
    <row r="1133" spans="1:10" ht="15.75" thickBot="1" x14ac:dyDescent="0.3">
      <c r="A1133" s="8">
        <v>1132</v>
      </c>
      <c r="B1133" s="9" t="s">
        <v>8</v>
      </c>
      <c r="C1133" s="9" t="s">
        <v>861</v>
      </c>
      <c r="D1133" s="10">
        <v>45011</v>
      </c>
      <c r="E1133" s="21">
        <v>676</v>
      </c>
      <c r="F1133" s="11">
        <v>0</v>
      </c>
      <c r="J1133" s="16"/>
    </row>
    <row r="1134" spans="1:10" ht="30.75" thickBot="1" x14ac:dyDescent="0.3">
      <c r="A1134" s="4">
        <v>1133</v>
      </c>
      <c r="B1134" s="5" t="s">
        <v>10</v>
      </c>
      <c r="C1134" s="5" t="s">
        <v>862</v>
      </c>
      <c r="D1134" s="6">
        <v>45015</v>
      </c>
      <c r="E1134" s="20">
        <v>522</v>
      </c>
      <c r="F1134" s="7">
        <v>0</v>
      </c>
      <c r="J1134" s="16"/>
    </row>
    <row r="1135" spans="1:10" ht="30.75" thickBot="1" x14ac:dyDescent="0.3">
      <c r="A1135" s="4">
        <v>1134</v>
      </c>
      <c r="B1135" s="5" t="s">
        <v>12</v>
      </c>
      <c r="C1135" s="5" t="s">
        <v>863</v>
      </c>
      <c r="D1135" s="6">
        <v>44816</v>
      </c>
      <c r="E1135" s="20">
        <v>611</v>
      </c>
      <c r="F1135" s="7">
        <v>0</v>
      </c>
      <c r="J1135" s="16"/>
    </row>
    <row r="1136" spans="1:10" ht="30.75" thickBot="1" x14ac:dyDescent="0.3">
      <c r="A1136" s="8">
        <v>1135</v>
      </c>
      <c r="B1136" s="9" t="s">
        <v>14</v>
      </c>
      <c r="C1136" s="9" t="s">
        <v>864</v>
      </c>
      <c r="D1136" s="10">
        <v>44655</v>
      </c>
      <c r="E1136" s="21">
        <v>516</v>
      </c>
      <c r="F1136" s="11">
        <v>0</v>
      </c>
      <c r="J1136" s="16"/>
    </row>
    <row r="1137" spans="1:10" ht="30.75" thickBot="1" x14ac:dyDescent="0.3">
      <c r="A1137" s="8">
        <v>1136</v>
      </c>
      <c r="B1137" s="9" t="s">
        <v>16</v>
      </c>
      <c r="C1137" s="9" t="s">
        <v>865</v>
      </c>
      <c r="D1137" s="10">
        <v>44933</v>
      </c>
      <c r="E1137" s="21">
        <v>634</v>
      </c>
      <c r="F1137" s="11">
        <v>0</v>
      </c>
      <c r="J1137" s="16"/>
    </row>
    <row r="1138" spans="1:10" ht="15.75" thickBot="1" x14ac:dyDescent="0.3">
      <c r="A1138" s="4">
        <v>1137</v>
      </c>
      <c r="B1138" s="5" t="s">
        <v>18</v>
      </c>
      <c r="C1138" s="5" t="s">
        <v>866</v>
      </c>
      <c r="D1138" s="6">
        <v>44963</v>
      </c>
      <c r="E1138" s="20">
        <v>825</v>
      </c>
      <c r="F1138" s="7">
        <v>0</v>
      </c>
      <c r="J1138" s="16"/>
    </row>
    <row r="1139" spans="1:10" ht="15.75" thickBot="1" x14ac:dyDescent="0.3">
      <c r="A1139" s="4">
        <v>1138</v>
      </c>
      <c r="B1139" s="5" t="s">
        <v>20</v>
      </c>
      <c r="C1139" s="5" t="s">
        <v>867</v>
      </c>
      <c r="D1139" s="6">
        <v>44818</v>
      </c>
      <c r="E1139" s="20">
        <v>477</v>
      </c>
      <c r="F1139" s="7">
        <v>0</v>
      </c>
      <c r="J1139" s="16"/>
    </row>
    <row r="1140" spans="1:10" ht="30.75" thickBot="1" x14ac:dyDescent="0.3">
      <c r="A1140" s="8">
        <v>1139</v>
      </c>
      <c r="B1140" s="9" t="s">
        <v>22</v>
      </c>
      <c r="C1140" s="9" t="s">
        <v>868</v>
      </c>
      <c r="D1140" s="10">
        <v>44893</v>
      </c>
      <c r="E1140" s="21">
        <v>448</v>
      </c>
      <c r="F1140" s="11">
        <v>0</v>
      </c>
      <c r="J1140" s="16"/>
    </row>
    <row r="1141" spans="1:10" ht="30.75" thickBot="1" x14ac:dyDescent="0.3">
      <c r="A1141" s="8">
        <v>1140</v>
      </c>
      <c r="B1141" s="9" t="s">
        <v>24</v>
      </c>
      <c r="C1141" s="9" t="s">
        <v>869</v>
      </c>
      <c r="D1141" s="10">
        <v>44728</v>
      </c>
      <c r="E1141" s="21">
        <v>845</v>
      </c>
      <c r="F1141" s="11">
        <v>0</v>
      </c>
      <c r="J1141" s="16"/>
    </row>
    <row r="1142" spans="1:10" ht="30.75" thickBot="1" x14ac:dyDescent="0.3">
      <c r="A1142" s="4">
        <v>1141</v>
      </c>
      <c r="B1142" s="5" t="s">
        <v>6</v>
      </c>
      <c r="C1142" s="5" t="s">
        <v>870</v>
      </c>
      <c r="D1142" s="6">
        <v>44794</v>
      </c>
      <c r="E1142" s="20">
        <v>526</v>
      </c>
      <c r="F1142" s="7">
        <v>0</v>
      </c>
      <c r="J1142" s="16"/>
    </row>
    <row r="1143" spans="1:10" ht="15.75" thickBot="1" x14ac:dyDescent="0.3">
      <c r="A1143" s="4">
        <v>1142</v>
      </c>
      <c r="B1143" s="5" t="s">
        <v>8</v>
      </c>
      <c r="C1143" s="5" t="s">
        <v>871</v>
      </c>
      <c r="D1143" s="6">
        <v>44845</v>
      </c>
      <c r="E1143" s="20">
        <v>690</v>
      </c>
      <c r="F1143" s="7">
        <v>0</v>
      </c>
      <c r="J1143" s="16"/>
    </row>
    <row r="1144" spans="1:10" ht="30.75" thickBot="1" x14ac:dyDescent="0.3">
      <c r="A1144" s="8">
        <v>1143</v>
      </c>
      <c r="B1144" s="9" t="s">
        <v>10</v>
      </c>
      <c r="C1144" s="9" t="s">
        <v>872</v>
      </c>
      <c r="D1144" s="10">
        <v>45012</v>
      </c>
      <c r="E1144" s="21">
        <v>642</v>
      </c>
      <c r="F1144" s="11">
        <v>0</v>
      </c>
      <c r="J1144" s="16"/>
    </row>
    <row r="1145" spans="1:10" ht="30.75" thickBot="1" x14ac:dyDescent="0.3">
      <c r="A1145" s="8">
        <v>1144</v>
      </c>
      <c r="B1145" s="9" t="s">
        <v>12</v>
      </c>
      <c r="C1145" s="9" t="s">
        <v>873</v>
      </c>
      <c r="D1145" s="10">
        <v>44654</v>
      </c>
      <c r="E1145" s="21">
        <v>818</v>
      </c>
      <c r="F1145" s="11">
        <v>0</v>
      </c>
      <c r="J1145" s="16"/>
    </row>
    <row r="1146" spans="1:10" ht="30.75" thickBot="1" x14ac:dyDescent="0.3">
      <c r="A1146" s="4">
        <v>1145</v>
      </c>
      <c r="B1146" s="5" t="s">
        <v>14</v>
      </c>
      <c r="C1146" s="5" t="s">
        <v>874</v>
      </c>
      <c r="D1146" s="6">
        <v>44823</v>
      </c>
      <c r="E1146" s="20">
        <v>400</v>
      </c>
      <c r="F1146" s="7">
        <v>0</v>
      </c>
      <c r="J1146" s="16"/>
    </row>
    <row r="1147" spans="1:10" ht="30.75" thickBot="1" x14ac:dyDescent="0.3">
      <c r="A1147" s="4">
        <v>1146</v>
      </c>
      <c r="B1147" s="5" t="s">
        <v>16</v>
      </c>
      <c r="C1147" s="5" t="s">
        <v>875</v>
      </c>
      <c r="D1147" s="6">
        <v>44931</v>
      </c>
      <c r="E1147" s="20">
        <v>648</v>
      </c>
      <c r="F1147" s="7">
        <v>0</v>
      </c>
      <c r="J1147" s="16"/>
    </row>
    <row r="1148" spans="1:10" ht="15.75" thickBot="1" x14ac:dyDescent="0.3">
      <c r="A1148" s="8">
        <v>1147</v>
      </c>
      <c r="B1148" s="9" t="s">
        <v>18</v>
      </c>
      <c r="C1148" s="9" t="s">
        <v>876</v>
      </c>
      <c r="D1148" s="10">
        <v>44732</v>
      </c>
      <c r="E1148" s="21">
        <v>591</v>
      </c>
      <c r="F1148" s="11">
        <v>0</v>
      </c>
      <c r="J1148" s="16"/>
    </row>
    <row r="1149" spans="1:10" ht="15.75" thickBot="1" x14ac:dyDescent="0.3">
      <c r="A1149" s="8">
        <v>1148</v>
      </c>
      <c r="B1149" s="9" t="s">
        <v>20</v>
      </c>
      <c r="C1149" s="9" t="s">
        <v>877</v>
      </c>
      <c r="D1149" s="10">
        <v>44906</v>
      </c>
      <c r="E1149" s="21">
        <v>804</v>
      </c>
      <c r="F1149" s="11">
        <v>0</v>
      </c>
      <c r="J1149" s="16"/>
    </row>
    <row r="1150" spans="1:10" ht="30.75" thickBot="1" x14ac:dyDescent="0.3">
      <c r="A1150" s="4">
        <v>1149</v>
      </c>
      <c r="B1150" s="5" t="s">
        <v>22</v>
      </c>
      <c r="C1150" s="5" t="s">
        <v>878</v>
      </c>
      <c r="D1150" s="6">
        <v>44797</v>
      </c>
      <c r="E1150" s="20">
        <v>482</v>
      </c>
      <c r="F1150" s="7">
        <v>0</v>
      </c>
      <c r="J1150" s="16"/>
    </row>
    <row r="1151" spans="1:10" ht="30.75" thickBot="1" x14ac:dyDescent="0.3">
      <c r="A1151" s="4">
        <v>1150</v>
      </c>
      <c r="B1151" s="5" t="s">
        <v>24</v>
      </c>
      <c r="C1151" s="5" t="s">
        <v>879</v>
      </c>
      <c r="D1151" s="6">
        <v>44673</v>
      </c>
      <c r="E1151" s="20">
        <v>536</v>
      </c>
      <c r="F1151" s="7">
        <v>0</v>
      </c>
      <c r="J1151" s="16"/>
    </row>
    <row r="1152" spans="1:10" ht="30.75" thickBot="1" x14ac:dyDescent="0.3">
      <c r="A1152" s="8">
        <v>1151</v>
      </c>
      <c r="B1152" s="9" t="s">
        <v>6</v>
      </c>
      <c r="C1152" s="9" t="s">
        <v>880</v>
      </c>
      <c r="D1152" s="10">
        <v>44821</v>
      </c>
      <c r="E1152" s="21">
        <v>457</v>
      </c>
      <c r="F1152" s="11">
        <v>0</v>
      </c>
      <c r="J1152" s="16"/>
    </row>
    <row r="1153" spans="1:10" ht="15.75" thickBot="1" x14ac:dyDescent="0.3">
      <c r="A1153" s="8">
        <v>1152</v>
      </c>
      <c r="B1153" s="9" t="s">
        <v>8</v>
      </c>
      <c r="C1153" s="9" t="s">
        <v>881</v>
      </c>
      <c r="D1153" s="10">
        <v>44735</v>
      </c>
      <c r="E1153" s="21">
        <v>907</v>
      </c>
      <c r="F1153" s="11">
        <v>0</v>
      </c>
      <c r="J1153" s="16"/>
    </row>
    <row r="1154" spans="1:10" ht="30.75" thickBot="1" x14ac:dyDescent="0.3">
      <c r="A1154" s="4">
        <v>1153</v>
      </c>
      <c r="B1154" s="5" t="s">
        <v>10</v>
      </c>
      <c r="C1154" s="5" t="s">
        <v>882</v>
      </c>
      <c r="D1154" s="6">
        <v>44667</v>
      </c>
      <c r="E1154" s="20">
        <v>914</v>
      </c>
      <c r="F1154" s="7">
        <v>0</v>
      </c>
      <c r="J1154" s="16"/>
    </row>
    <row r="1155" spans="1:10" ht="30.75" thickBot="1" x14ac:dyDescent="0.3">
      <c r="A1155" s="4">
        <v>1154</v>
      </c>
      <c r="B1155" s="5" t="s">
        <v>12</v>
      </c>
      <c r="C1155" s="5" t="s">
        <v>883</v>
      </c>
      <c r="D1155" s="6">
        <v>45012</v>
      </c>
      <c r="E1155" s="20">
        <v>491</v>
      </c>
      <c r="F1155" s="7">
        <v>0</v>
      </c>
      <c r="J1155" s="16"/>
    </row>
    <row r="1156" spans="1:10" ht="30.75" thickBot="1" x14ac:dyDescent="0.3">
      <c r="A1156" s="8">
        <v>1155</v>
      </c>
      <c r="B1156" s="9" t="s">
        <v>14</v>
      </c>
      <c r="C1156" s="9" t="s">
        <v>884</v>
      </c>
      <c r="D1156" s="10">
        <v>44986</v>
      </c>
      <c r="E1156" s="21">
        <v>594</v>
      </c>
      <c r="F1156" s="11">
        <v>0</v>
      </c>
      <c r="J1156" s="16"/>
    </row>
    <row r="1157" spans="1:10" ht="30.75" thickBot="1" x14ac:dyDescent="0.3">
      <c r="A1157" s="8">
        <v>1156</v>
      </c>
      <c r="B1157" s="9" t="s">
        <v>16</v>
      </c>
      <c r="C1157" s="9" t="s">
        <v>885</v>
      </c>
      <c r="D1157" s="10">
        <v>44713</v>
      </c>
      <c r="E1157" s="21">
        <v>520</v>
      </c>
      <c r="F1157" s="11">
        <v>0</v>
      </c>
      <c r="J1157" s="16"/>
    </row>
    <row r="1158" spans="1:10" ht="15.75" thickBot="1" x14ac:dyDescent="0.3">
      <c r="A1158" s="4">
        <v>1157</v>
      </c>
      <c r="B1158" s="5" t="s">
        <v>18</v>
      </c>
      <c r="C1158" s="5" t="s">
        <v>886</v>
      </c>
      <c r="D1158" s="6">
        <v>44695</v>
      </c>
      <c r="E1158" s="20">
        <v>538</v>
      </c>
      <c r="F1158" s="7">
        <v>0</v>
      </c>
      <c r="J1158" s="16"/>
    </row>
    <row r="1159" spans="1:10" ht="15.75" thickBot="1" x14ac:dyDescent="0.3">
      <c r="A1159" s="4">
        <v>1158</v>
      </c>
      <c r="B1159" s="5" t="s">
        <v>20</v>
      </c>
      <c r="C1159" s="5" t="s">
        <v>887</v>
      </c>
      <c r="D1159" s="6">
        <v>44868</v>
      </c>
      <c r="E1159" s="20">
        <v>707</v>
      </c>
      <c r="F1159" s="7">
        <v>0</v>
      </c>
      <c r="J1159" s="16"/>
    </row>
    <row r="1160" spans="1:10" ht="30.75" thickBot="1" x14ac:dyDescent="0.3">
      <c r="A1160" s="8">
        <v>1159</v>
      </c>
      <c r="B1160" s="9" t="s">
        <v>22</v>
      </c>
      <c r="C1160" s="9" t="s">
        <v>888</v>
      </c>
      <c r="D1160" s="10">
        <v>44930</v>
      </c>
      <c r="E1160" s="21">
        <v>903</v>
      </c>
      <c r="F1160" s="11">
        <v>0</v>
      </c>
      <c r="J1160" s="16"/>
    </row>
    <row r="1161" spans="1:10" ht="30.75" thickBot="1" x14ac:dyDescent="0.3">
      <c r="A1161" s="8">
        <v>1160</v>
      </c>
      <c r="B1161" s="9" t="s">
        <v>24</v>
      </c>
      <c r="C1161" s="9" t="s">
        <v>889</v>
      </c>
      <c r="D1161" s="10">
        <v>44895</v>
      </c>
      <c r="E1161" s="21">
        <v>873</v>
      </c>
      <c r="F1161" s="11">
        <v>0</v>
      </c>
      <c r="J1161" s="16"/>
    </row>
    <row r="1162" spans="1:10" ht="30.75" thickBot="1" x14ac:dyDescent="0.3">
      <c r="A1162" s="4">
        <v>1161</v>
      </c>
      <c r="B1162" s="5" t="s">
        <v>6</v>
      </c>
      <c r="C1162" s="5" t="s">
        <v>890</v>
      </c>
      <c r="D1162" s="6">
        <v>44825</v>
      </c>
      <c r="E1162" s="20">
        <v>658</v>
      </c>
      <c r="F1162" s="7">
        <v>0</v>
      </c>
      <c r="J1162" s="16"/>
    </row>
    <row r="1163" spans="1:10" ht="15.75" thickBot="1" x14ac:dyDescent="0.3">
      <c r="A1163" s="4">
        <v>1162</v>
      </c>
      <c r="B1163" s="5" t="s">
        <v>8</v>
      </c>
      <c r="C1163" s="5" t="s">
        <v>891</v>
      </c>
      <c r="D1163" s="6">
        <v>44625</v>
      </c>
      <c r="E1163" s="20">
        <v>601</v>
      </c>
      <c r="F1163" s="7">
        <v>0</v>
      </c>
      <c r="J1163" s="16"/>
    </row>
    <row r="1164" spans="1:10" ht="30.75" thickBot="1" x14ac:dyDescent="0.3">
      <c r="A1164" s="8">
        <v>1163</v>
      </c>
      <c r="B1164" s="9" t="s">
        <v>10</v>
      </c>
      <c r="C1164" s="9" t="s">
        <v>892</v>
      </c>
      <c r="D1164" s="10">
        <v>44748</v>
      </c>
      <c r="E1164" s="21">
        <v>654</v>
      </c>
      <c r="F1164" s="11">
        <v>0</v>
      </c>
      <c r="J1164" s="16"/>
    </row>
    <row r="1165" spans="1:10" ht="30.75" thickBot="1" x14ac:dyDescent="0.3">
      <c r="A1165" s="8">
        <v>1164</v>
      </c>
      <c r="B1165" s="9" t="s">
        <v>12</v>
      </c>
      <c r="C1165" s="9" t="s">
        <v>893</v>
      </c>
      <c r="D1165" s="10">
        <v>44905</v>
      </c>
      <c r="E1165" s="21">
        <v>799</v>
      </c>
      <c r="F1165" s="11">
        <v>0</v>
      </c>
      <c r="J1165" s="16"/>
    </row>
    <row r="1166" spans="1:10" ht="30.75" thickBot="1" x14ac:dyDescent="0.3">
      <c r="A1166" s="4">
        <v>1165</v>
      </c>
      <c r="B1166" s="5" t="s">
        <v>14</v>
      </c>
      <c r="C1166" s="5" t="s">
        <v>894</v>
      </c>
      <c r="D1166" s="6">
        <v>44974</v>
      </c>
      <c r="E1166" s="20">
        <v>437</v>
      </c>
      <c r="F1166" s="7">
        <v>0</v>
      </c>
      <c r="J1166" s="16"/>
    </row>
    <row r="1167" spans="1:10" ht="30.75" thickBot="1" x14ac:dyDescent="0.3">
      <c r="A1167" s="4">
        <v>1166</v>
      </c>
      <c r="B1167" s="5" t="s">
        <v>16</v>
      </c>
      <c r="C1167" s="5" t="s">
        <v>895</v>
      </c>
      <c r="D1167" s="6">
        <v>44938</v>
      </c>
      <c r="E1167" s="20">
        <v>791</v>
      </c>
      <c r="F1167" s="7">
        <v>0</v>
      </c>
      <c r="J1167" s="16"/>
    </row>
    <row r="1168" spans="1:10" ht="15.75" thickBot="1" x14ac:dyDescent="0.3">
      <c r="A1168" s="8">
        <v>1167</v>
      </c>
      <c r="B1168" s="9" t="s">
        <v>18</v>
      </c>
      <c r="C1168" s="9" t="s">
        <v>896</v>
      </c>
      <c r="D1168" s="10">
        <v>44733</v>
      </c>
      <c r="E1168" s="21">
        <v>650</v>
      </c>
      <c r="F1168" s="11">
        <v>0</v>
      </c>
      <c r="J1168" s="16"/>
    </row>
    <row r="1169" spans="1:10" ht="15.75" thickBot="1" x14ac:dyDescent="0.3">
      <c r="A1169" s="8">
        <v>1168</v>
      </c>
      <c r="B1169" s="9" t="s">
        <v>20</v>
      </c>
      <c r="C1169" s="9" t="s">
        <v>897</v>
      </c>
      <c r="D1169" s="10">
        <v>44967</v>
      </c>
      <c r="E1169" s="21">
        <v>598</v>
      </c>
      <c r="F1169" s="11">
        <v>0</v>
      </c>
      <c r="J1169" s="16"/>
    </row>
    <row r="1170" spans="1:10" ht="30.75" thickBot="1" x14ac:dyDescent="0.3">
      <c r="A1170" s="4">
        <v>1169</v>
      </c>
      <c r="B1170" s="5" t="s">
        <v>22</v>
      </c>
      <c r="C1170" s="5" t="s">
        <v>898</v>
      </c>
      <c r="D1170" s="6">
        <v>44845</v>
      </c>
      <c r="E1170" s="20">
        <v>441</v>
      </c>
      <c r="F1170" s="7">
        <v>0</v>
      </c>
      <c r="J1170" s="16"/>
    </row>
    <row r="1171" spans="1:10" ht="30.75" thickBot="1" x14ac:dyDescent="0.3">
      <c r="A1171" s="4">
        <v>1170</v>
      </c>
      <c r="B1171" s="5" t="s">
        <v>24</v>
      </c>
      <c r="C1171" s="5" t="s">
        <v>899</v>
      </c>
      <c r="D1171" s="6">
        <v>44715</v>
      </c>
      <c r="E1171" s="20">
        <v>962</v>
      </c>
      <c r="F1171" s="7">
        <v>0</v>
      </c>
      <c r="J1171" s="16"/>
    </row>
    <row r="1172" spans="1:10" ht="30.75" thickBot="1" x14ac:dyDescent="0.3">
      <c r="A1172" s="8">
        <v>1171</v>
      </c>
      <c r="B1172" s="9" t="s">
        <v>6</v>
      </c>
      <c r="C1172" s="9" t="s">
        <v>900</v>
      </c>
      <c r="D1172" s="10">
        <v>44929</v>
      </c>
      <c r="E1172" s="21">
        <v>829</v>
      </c>
      <c r="F1172" s="11">
        <v>0</v>
      </c>
      <c r="J1172" s="16"/>
    </row>
    <row r="1173" spans="1:10" ht="15.75" thickBot="1" x14ac:dyDescent="0.3">
      <c r="A1173" s="8">
        <v>1172</v>
      </c>
      <c r="B1173" s="9" t="s">
        <v>8</v>
      </c>
      <c r="C1173" s="9" t="s">
        <v>901</v>
      </c>
      <c r="D1173" s="10">
        <v>44856</v>
      </c>
      <c r="E1173" s="21">
        <v>437</v>
      </c>
      <c r="F1173" s="11">
        <v>0</v>
      </c>
      <c r="J1173" s="16"/>
    </row>
    <row r="1174" spans="1:10" ht="30.75" thickBot="1" x14ac:dyDescent="0.3">
      <c r="A1174" s="4">
        <v>1173</v>
      </c>
      <c r="B1174" s="5" t="s">
        <v>10</v>
      </c>
      <c r="C1174" s="5" t="s">
        <v>902</v>
      </c>
      <c r="D1174" s="6">
        <v>44690</v>
      </c>
      <c r="E1174" s="20">
        <v>959</v>
      </c>
      <c r="F1174" s="7">
        <v>0</v>
      </c>
      <c r="J1174" s="16"/>
    </row>
    <row r="1175" spans="1:10" ht="30.75" thickBot="1" x14ac:dyDescent="0.3">
      <c r="A1175" s="4">
        <v>1174</v>
      </c>
      <c r="B1175" s="5" t="s">
        <v>12</v>
      </c>
      <c r="C1175" s="5" t="s">
        <v>903</v>
      </c>
      <c r="D1175" s="6">
        <v>44930</v>
      </c>
      <c r="E1175" s="20">
        <v>684</v>
      </c>
      <c r="F1175" s="7">
        <v>0</v>
      </c>
      <c r="J1175" s="16"/>
    </row>
    <row r="1176" spans="1:10" ht="30.75" thickBot="1" x14ac:dyDescent="0.3">
      <c r="A1176" s="8">
        <v>1175</v>
      </c>
      <c r="B1176" s="9" t="s">
        <v>14</v>
      </c>
      <c r="C1176" s="9" t="s">
        <v>904</v>
      </c>
      <c r="D1176" s="10">
        <v>44618</v>
      </c>
      <c r="E1176" s="21">
        <v>821</v>
      </c>
      <c r="F1176" s="11">
        <v>0</v>
      </c>
      <c r="J1176" s="16"/>
    </row>
    <row r="1177" spans="1:10" ht="30.75" thickBot="1" x14ac:dyDescent="0.3">
      <c r="A1177" s="8">
        <v>1176</v>
      </c>
      <c r="B1177" s="9" t="s">
        <v>16</v>
      </c>
      <c r="C1177" s="9" t="s">
        <v>905</v>
      </c>
      <c r="D1177" s="10">
        <v>44798</v>
      </c>
      <c r="E1177" s="21">
        <v>711</v>
      </c>
      <c r="F1177" s="11">
        <v>0</v>
      </c>
      <c r="J1177" s="16"/>
    </row>
    <row r="1178" spans="1:10" ht="15.75" thickBot="1" x14ac:dyDescent="0.3">
      <c r="A1178" s="4">
        <v>1177</v>
      </c>
      <c r="B1178" s="5" t="s">
        <v>18</v>
      </c>
      <c r="C1178" s="5" t="s">
        <v>906</v>
      </c>
      <c r="D1178" s="6">
        <v>44664</v>
      </c>
      <c r="E1178" s="20">
        <v>600</v>
      </c>
      <c r="F1178" s="7">
        <v>0</v>
      </c>
      <c r="J1178" s="16"/>
    </row>
    <row r="1179" spans="1:10" ht="15.75" thickBot="1" x14ac:dyDescent="0.3">
      <c r="A1179" s="4">
        <v>1178</v>
      </c>
      <c r="B1179" s="5" t="s">
        <v>20</v>
      </c>
      <c r="C1179" s="5" t="s">
        <v>907</v>
      </c>
      <c r="D1179" s="6">
        <v>44811</v>
      </c>
      <c r="E1179" s="20">
        <v>640</v>
      </c>
      <c r="F1179" s="7">
        <v>0</v>
      </c>
      <c r="J1179" s="16"/>
    </row>
    <row r="1180" spans="1:10" ht="30.75" thickBot="1" x14ac:dyDescent="0.3">
      <c r="A1180" s="8">
        <v>1179</v>
      </c>
      <c r="B1180" s="9" t="s">
        <v>22</v>
      </c>
      <c r="C1180" s="9" t="s">
        <v>908</v>
      </c>
      <c r="D1180" s="10">
        <v>44772</v>
      </c>
      <c r="E1180" s="21">
        <v>534</v>
      </c>
      <c r="F1180" s="11">
        <v>0</v>
      </c>
      <c r="J1180" s="16"/>
    </row>
    <row r="1181" spans="1:10" ht="30.75" thickBot="1" x14ac:dyDescent="0.3">
      <c r="A1181" s="8">
        <v>1180</v>
      </c>
      <c r="B1181" s="9" t="s">
        <v>24</v>
      </c>
      <c r="C1181" s="9" t="s">
        <v>909</v>
      </c>
      <c r="D1181" s="10">
        <v>44939</v>
      </c>
      <c r="E1181" s="21">
        <v>793</v>
      </c>
      <c r="F1181" s="11">
        <v>0</v>
      </c>
      <c r="J1181" s="16"/>
    </row>
    <row r="1182" spans="1:10" ht="30.75" thickBot="1" x14ac:dyDescent="0.3">
      <c r="A1182" s="4">
        <v>1181</v>
      </c>
      <c r="B1182" s="5" t="s">
        <v>6</v>
      </c>
      <c r="C1182" s="5" t="s">
        <v>910</v>
      </c>
      <c r="D1182" s="6">
        <v>44960</v>
      </c>
      <c r="E1182" s="20">
        <v>439</v>
      </c>
      <c r="F1182" s="7">
        <v>0</v>
      </c>
      <c r="J1182" s="16"/>
    </row>
    <row r="1183" spans="1:10" ht="15.75" thickBot="1" x14ac:dyDescent="0.3">
      <c r="A1183" s="4">
        <v>1182</v>
      </c>
      <c r="B1183" s="5" t="s">
        <v>8</v>
      </c>
      <c r="C1183" s="5" t="s">
        <v>911</v>
      </c>
      <c r="D1183" s="6">
        <v>44649</v>
      </c>
      <c r="E1183" s="20">
        <v>818</v>
      </c>
      <c r="F1183" s="7">
        <v>0</v>
      </c>
      <c r="J1183" s="16"/>
    </row>
    <row r="1184" spans="1:10" ht="30.75" thickBot="1" x14ac:dyDescent="0.3">
      <c r="A1184" s="8">
        <v>1183</v>
      </c>
      <c r="B1184" s="9" t="s">
        <v>10</v>
      </c>
      <c r="C1184" s="9" t="s">
        <v>912</v>
      </c>
      <c r="D1184" s="10">
        <v>44751</v>
      </c>
      <c r="E1184" s="21">
        <v>599</v>
      </c>
      <c r="F1184" s="11">
        <v>0</v>
      </c>
      <c r="J1184" s="16"/>
    </row>
    <row r="1185" spans="1:10" ht="30.75" thickBot="1" x14ac:dyDescent="0.3">
      <c r="A1185" s="8">
        <v>1184</v>
      </c>
      <c r="B1185" s="9" t="s">
        <v>12</v>
      </c>
      <c r="C1185" s="9" t="s">
        <v>913</v>
      </c>
      <c r="D1185" s="10">
        <v>44672</v>
      </c>
      <c r="E1185" s="21">
        <v>521</v>
      </c>
      <c r="F1185" s="11">
        <v>0</v>
      </c>
      <c r="J1185" s="16"/>
    </row>
    <row r="1186" spans="1:10" ht="30.75" thickBot="1" x14ac:dyDescent="0.3">
      <c r="A1186" s="4">
        <v>1185</v>
      </c>
      <c r="B1186" s="5" t="s">
        <v>14</v>
      </c>
      <c r="C1186" s="5" t="s">
        <v>914</v>
      </c>
      <c r="D1186" s="6">
        <v>44645</v>
      </c>
      <c r="E1186" s="20">
        <v>484</v>
      </c>
      <c r="F1186" s="7">
        <v>0</v>
      </c>
      <c r="J1186" s="16"/>
    </row>
    <row r="1187" spans="1:10" ht="30.75" thickBot="1" x14ac:dyDescent="0.3">
      <c r="A1187" s="4">
        <v>1186</v>
      </c>
      <c r="B1187" s="5" t="s">
        <v>16</v>
      </c>
      <c r="C1187" s="5" t="s">
        <v>915</v>
      </c>
      <c r="D1187" s="6">
        <v>44726</v>
      </c>
      <c r="E1187" s="20">
        <v>614</v>
      </c>
      <c r="F1187" s="7">
        <v>0</v>
      </c>
      <c r="J1187" s="16"/>
    </row>
    <row r="1188" spans="1:10" ht="15.75" thickBot="1" x14ac:dyDescent="0.3">
      <c r="A1188" s="8">
        <v>1187</v>
      </c>
      <c r="B1188" s="9" t="s">
        <v>18</v>
      </c>
      <c r="C1188" s="9" t="s">
        <v>916</v>
      </c>
      <c r="D1188" s="10">
        <v>44987</v>
      </c>
      <c r="E1188" s="21">
        <v>685</v>
      </c>
      <c r="F1188" s="11">
        <v>0</v>
      </c>
      <c r="J1188" s="16"/>
    </row>
    <row r="1189" spans="1:10" ht="15.75" thickBot="1" x14ac:dyDescent="0.3">
      <c r="A1189" s="8">
        <v>1188</v>
      </c>
      <c r="B1189" s="9" t="s">
        <v>20</v>
      </c>
      <c r="C1189" s="9" t="s">
        <v>917</v>
      </c>
      <c r="D1189" s="10">
        <v>44743</v>
      </c>
      <c r="E1189" s="21">
        <v>714</v>
      </c>
      <c r="F1189" s="11">
        <v>0</v>
      </c>
      <c r="J1189" s="16"/>
    </row>
    <row r="1190" spans="1:10" ht="30.75" thickBot="1" x14ac:dyDescent="0.3">
      <c r="A1190" s="4">
        <v>1189</v>
      </c>
      <c r="B1190" s="5" t="s">
        <v>22</v>
      </c>
      <c r="C1190" s="5" t="s">
        <v>918</v>
      </c>
      <c r="D1190" s="6">
        <v>44916</v>
      </c>
      <c r="E1190" s="20">
        <v>977</v>
      </c>
      <c r="F1190" s="7">
        <v>0</v>
      </c>
      <c r="J1190" s="16"/>
    </row>
    <row r="1191" spans="1:10" ht="30.75" thickBot="1" x14ac:dyDescent="0.3">
      <c r="A1191" s="4">
        <v>1190</v>
      </c>
      <c r="B1191" s="5" t="s">
        <v>24</v>
      </c>
      <c r="C1191" s="5" t="s">
        <v>919</v>
      </c>
      <c r="D1191" s="6">
        <v>44839</v>
      </c>
      <c r="E1191" s="20">
        <v>428</v>
      </c>
      <c r="F1191" s="7">
        <v>0</v>
      </c>
      <c r="J1191" s="16"/>
    </row>
    <row r="1192" spans="1:10" ht="30.75" thickBot="1" x14ac:dyDescent="0.3">
      <c r="A1192" s="8">
        <v>1191</v>
      </c>
      <c r="B1192" s="9" t="s">
        <v>6</v>
      </c>
      <c r="C1192" s="9" t="s">
        <v>920</v>
      </c>
      <c r="D1192" s="10">
        <v>44834</v>
      </c>
      <c r="E1192" s="21">
        <v>636</v>
      </c>
      <c r="F1192" s="11">
        <v>0</v>
      </c>
      <c r="J1192" s="16"/>
    </row>
    <row r="1193" spans="1:10" ht="15.75" thickBot="1" x14ac:dyDescent="0.3">
      <c r="A1193" s="8">
        <v>1192</v>
      </c>
      <c r="B1193" s="9" t="s">
        <v>8</v>
      </c>
      <c r="C1193" s="9" t="s">
        <v>921</v>
      </c>
      <c r="D1193" s="10">
        <v>44777</v>
      </c>
      <c r="E1193" s="21">
        <v>464</v>
      </c>
      <c r="F1193" s="11">
        <v>0</v>
      </c>
      <c r="J1193" s="16"/>
    </row>
    <row r="1194" spans="1:10" ht="30.75" thickBot="1" x14ac:dyDescent="0.3">
      <c r="A1194" s="4">
        <v>1193</v>
      </c>
      <c r="B1194" s="5" t="s">
        <v>10</v>
      </c>
      <c r="C1194" s="5" t="s">
        <v>922</v>
      </c>
      <c r="D1194" s="6">
        <v>44952</v>
      </c>
      <c r="E1194" s="20">
        <v>452</v>
      </c>
      <c r="F1194" s="7">
        <v>0</v>
      </c>
      <c r="J1194" s="16"/>
    </row>
    <row r="1195" spans="1:10" ht="30.75" thickBot="1" x14ac:dyDescent="0.3">
      <c r="A1195" s="4">
        <v>1194</v>
      </c>
      <c r="B1195" s="5" t="s">
        <v>12</v>
      </c>
      <c r="C1195" s="5" t="s">
        <v>923</v>
      </c>
      <c r="D1195" s="6">
        <v>44783</v>
      </c>
      <c r="E1195" s="20">
        <v>749</v>
      </c>
      <c r="F1195" s="7">
        <v>0</v>
      </c>
      <c r="J1195" s="16"/>
    </row>
    <row r="1196" spans="1:10" ht="30.75" thickBot="1" x14ac:dyDescent="0.3">
      <c r="A1196" s="8">
        <v>1195</v>
      </c>
      <c r="B1196" s="9" t="s">
        <v>14</v>
      </c>
      <c r="C1196" s="9" t="s">
        <v>924</v>
      </c>
      <c r="D1196" s="10">
        <v>44797</v>
      </c>
      <c r="E1196" s="21">
        <v>797</v>
      </c>
      <c r="F1196" s="11">
        <v>0</v>
      </c>
      <c r="J1196" s="16"/>
    </row>
    <row r="1197" spans="1:10" ht="30.75" thickBot="1" x14ac:dyDescent="0.3">
      <c r="A1197" s="8">
        <v>1196</v>
      </c>
      <c r="B1197" s="9" t="s">
        <v>16</v>
      </c>
      <c r="C1197" s="9" t="s">
        <v>925</v>
      </c>
      <c r="D1197" s="10">
        <v>44598</v>
      </c>
      <c r="E1197" s="21">
        <v>628</v>
      </c>
      <c r="F1197" s="11">
        <v>0</v>
      </c>
      <c r="J1197" s="16"/>
    </row>
    <row r="1198" spans="1:10" ht="15.75" thickBot="1" x14ac:dyDescent="0.3">
      <c r="A1198" s="4">
        <v>1197</v>
      </c>
      <c r="B1198" s="5" t="s">
        <v>18</v>
      </c>
      <c r="C1198" s="5" t="s">
        <v>926</v>
      </c>
      <c r="D1198" s="6">
        <v>44922</v>
      </c>
      <c r="E1198" s="20">
        <v>942</v>
      </c>
      <c r="F1198" s="7">
        <v>0</v>
      </c>
      <c r="J1198" s="16"/>
    </row>
    <row r="1199" spans="1:10" ht="15.75" thickBot="1" x14ac:dyDescent="0.3">
      <c r="A1199" s="4">
        <v>1198</v>
      </c>
      <c r="B1199" s="5" t="s">
        <v>20</v>
      </c>
      <c r="C1199" s="5" t="s">
        <v>927</v>
      </c>
      <c r="D1199" s="6">
        <v>44890</v>
      </c>
      <c r="E1199" s="20">
        <v>828</v>
      </c>
      <c r="F1199" s="7">
        <v>0</v>
      </c>
      <c r="J1199" s="16"/>
    </row>
    <row r="1200" spans="1:10" ht="30.75" thickBot="1" x14ac:dyDescent="0.3">
      <c r="A1200" s="8">
        <v>1199</v>
      </c>
      <c r="B1200" s="9" t="s">
        <v>22</v>
      </c>
      <c r="C1200" s="9" t="s">
        <v>928</v>
      </c>
      <c r="D1200" s="10">
        <v>44674</v>
      </c>
      <c r="E1200" s="21">
        <v>791</v>
      </c>
      <c r="F1200" s="11">
        <v>0</v>
      </c>
      <c r="J1200" s="16"/>
    </row>
    <row r="1201" spans="1:10" ht="30.75" thickBot="1" x14ac:dyDescent="0.3">
      <c r="A1201" s="8">
        <v>1200</v>
      </c>
      <c r="B1201" s="9" t="s">
        <v>24</v>
      </c>
      <c r="C1201" s="9" t="s">
        <v>929</v>
      </c>
      <c r="D1201" s="10">
        <v>44922</v>
      </c>
      <c r="E1201" s="21">
        <v>950</v>
      </c>
      <c r="F1201" s="11">
        <v>0</v>
      </c>
      <c r="J1201" s="16"/>
    </row>
    <row r="1202" spans="1:10" ht="30.75" thickBot="1" x14ac:dyDescent="0.3">
      <c r="A1202" s="4">
        <v>1201</v>
      </c>
      <c r="B1202" s="5" t="s">
        <v>6</v>
      </c>
      <c r="C1202" s="5" t="s">
        <v>930</v>
      </c>
      <c r="D1202" s="6">
        <v>44771</v>
      </c>
      <c r="E1202" s="20">
        <v>682</v>
      </c>
      <c r="F1202" s="7">
        <v>0</v>
      </c>
      <c r="J1202" s="16"/>
    </row>
    <row r="1203" spans="1:10" ht="15.75" thickBot="1" x14ac:dyDescent="0.3">
      <c r="A1203" s="4">
        <v>1202</v>
      </c>
      <c r="B1203" s="5" t="s">
        <v>8</v>
      </c>
      <c r="C1203" s="5" t="s">
        <v>931</v>
      </c>
      <c r="D1203" s="6">
        <v>44585</v>
      </c>
      <c r="E1203" s="20">
        <v>909</v>
      </c>
      <c r="F1203" s="7">
        <v>0</v>
      </c>
      <c r="J1203" s="16"/>
    </row>
    <row r="1204" spans="1:10" ht="30.75" thickBot="1" x14ac:dyDescent="0.3">
      <c r="A1204" s="8">
        <v>1203</v>
      </c>
      <c r="B1204" s="9" t="s">
        <v>10</v>
      </c>
      <c r="C1204" s="9" t="s">
        <v>932</v>
      </c>
      <c r="D1204" s="10">
        <v>45017</v>
      </c>
      <c r="E1204" s="21">
        <v>697</v>
      </c>
      <c r="F1204" s="11">
        <v>0</v>
      </c>
      <c r="J1204" s="16"/>
    </row>
    <row r="1205" spans="1:10" ht="30.75" thickBot="1" x14ac:dyDescent="0.3">
      <c r="A1205" s="8">
        <v>1204</v>
      </c>
      <c r="B1205" s="9" t="s">
        <v>12</v>
      </c>
      <c r="C1205" s="9" t="s">
        <v>933</v>
      </c>
      <c r="D1205" s="10">
        <v>44752</v>
      </c>
      <c r="E1205" s="21">
        <v>592</v>
      </c>
      <c r="F1205" s="11">
        <v>0</v>
      </c>
      <c r="J1205" s="16"/>
    </row>
    <row r="1206" spans="1:10" ht="30.75" thickBot="1" x14ac:dyDescent="0.3">
      <c r="A1206" s="4">
        <v>1205</v>
      </c>
      <c r="B1206" s="5" t="s">
        <v>14</v>
      </c>
      <c r="C1206" s="5" t="s">
        <v>934</v>
      </c>
      <c r="D1206" s="6">
        <v>44792</v>
      </c>
      <c r="E1206" s="20">
        <v>586</v>
      </c>
      <c r="F1206" s="7">
        <v>0</v>
      </c>
      <c r="J1206" s="16"/>
    </row>
    <row r="1207" spans="1:10" ht="30.75" thickBot="1" x14ac:dyDescent="0.3">
      <c r="A1207" s="4">
        <v>1206</v>
      </c>
      <c r="B1207" s="5" t="s">
        <v>16</v>
      </c>
      <c r="C1207" s="5" t="s">
        <v>935</v>
      </c>
      <c r="D1207" s="6">
        <v>44660</v>
      </c>
      <c r="E1207" s="20">
        <v>425</v>
      </c>
      <c r="F1207" s="7">
        <v>0</v>
      </c>
      <c r="J1207" s="16"/>
    </row>
    <row r="1208" spans="1:10" ht="15.75" thickBot="1" x14ac:dyDescent="0.3">
      <c r="A1208" s="8">
        <v>1207</v>
      </c>
      <c r="B1208" s="9" t="s">
        <v>18</v>
      </c>
      <c r="C1208" s="9" t="s">
        <v>936</v>
      </c>
      <c r="D1208" s="10">
        <v>45047</v>
      </c>
      <c r="E1208" s="21">
        <v>951</v>
      </c>
      <c r="F1208" s="11">
        <v>0</v>
      </c>
      <c r="J1208" s="16"/>
    </row>
    <row r="1209" spans="1:10" ht="15.75" thickBot="1" x14ac:dyDescent="0.3">
      <c r="A1209" s="8">
        <v>1208</v>
      </c>
      <c r="B1209" s="9" t="s">
        <v>20</v>
      </c>
      <c r="C1209" s="9" t="s">
        <v>937</v>
      </c>
      <c r="D1209" s="10">
        <v>44822</v>
      </c>
      <c r="E1209" s="21">
        <v>830</v>
      </c>
      <c r="F1209" s="11">
        <v>0</v>
      </c>
      <c r="J1209" s="16"/>
    </row>
    <row r="1210" spans="1:10" ht="30.75" thickBot="1" x14ac:dyDescent="0.3">
      <c r="A1210" s="4">
        <v>1209</v>
      </c>
      <c r="B1210" s="5" t="s">
        <v>22</v>
      </c>
      <c r="C1210" s="5" t="s">
        <v>938</v>
      </c>
      <c r="D1210" s="6">
        <v>44637</v>
      </c>
      <c r="E1210" s="20">
        <v>434</v>
      </c>
      <c r="F1210" s="7">
        <v>0</v>
      </c>
      <c r="J1210" s="16"/>
    </row>
    <row r="1211" spans="1:10" ht="30.75" thickBot="1" x14ac:dyDescent="0.3">
      <c r="A1211" s="4">
        <v>1210</v>
      </c>
      <c r="B1211" s="5" t="s">
        <v>24</v>
      </c>
      <c r="C1211" s="5" t="s">
        <v>939</v>
      </c>
      <c r="D1211" s="6">
        <v>44562</v>
      </c>
      <c r="E1211" s="20">
        <v>729</v>
      </c>
      <c r="F1211" s="7">
        <v>0</v>
      </c>
      <c r="J1211" s="16"/>
    </row>
    <row r="1212" spans="1:10" ht="30.75" thickBot="1" x14ac:dyDescent="0.3">
      <c r="A1212" s="8">
        <v>1211</v>
      </c>
      <c r="B1212" s="9" t="s">
        <v>6</v>
      </c>
      <c r="C1212" s="9" t="s">
        <v>940</v>
      </c>
      <c r="D1212" s="10">
        <v>44894</v>
      </c>
      <c r="E1212" s="21">
        <v>484</v>
      </c>
      <c r="F1212" s="11">
        <v>0</v>
      </c>
      <c r="J1212" s="16"/>
    </row>
    <row r="1213" spans="1:10" ht="15.75" thickBot="1" x14ac:dyDescent="0.3">
      <c r="A1213" s="8">
        <v>1212</v>
      </c>
      <c r="B1213" s="9" t="s">
        <v>8</v>
      </c>
      <c r="C1213" s="9" t="s">
        <v>941</v>
      </c>
      <c r="D1213" s="10">
        <v>44961</v>
      </c>
      <c r="E1213" s="21">
        <v>442</v>
      </c>
      <c r="F1213" s="11">
        <v>0</v>
      </c>
      <c r="J1213" s="16"/>
    </row>
    <row r="1214" spans="1:10" ht="30.75" thickBot="1" x14ac:dyDescent="0.3">
      <c r="A1214" s="4">
        <v>1213</v>
      </c>
      <c r="B1214" s="5" t="s">
        <v>10</v>
      </c>
      <c r="C1214" s="5" t="s">
        <v>942</v>
      </c>
      <c r="D1214" s="6">
        <v>44890</v>
      </c>
      <c r="E1214" s="20">
        <v>990</v>
      </c>
      <c r="F1214" s="7">
        <v>0</v>
      </c>
      <c r="J1214" s="16"/>
    </row>
    <row r="1215" spans="1:10" ht="30.75" thickBot="1" x14ac:dyDescent="0.3">
      <c r="A1215" s="4">
        <v>1214</v>
      </c>
      <c r="B1215" s="5" t="s">
        <v>12</v>
      </c>
      <c r="C1215" s="5" t="s">
        <v>943</v>
      </c>
      <c r="D1215" s="6">
        <v>44996</v>
      </c>
      <c r="E1215" s="20">
        <v>807</v>
      </c>
      <c r="F1215" s="7">
        <v>0</v>
      </c>
      <c r="J1215" s="16"/>
    </row>
    <row r="1216" spans="1:10" ht="30.75" thickBot="1" x14ac:dyDescent="0.3">
      <c r="A1216" s="8">
        <v>1215</v>
      </c>
      <c r="B1216" s="9" t="s">
        <v>14</v>
      </c>
      <c r="C1216" s="9" t="s">
        <v>944</v>
      </c>
      <c r="D1216" s="10">
        <v>44726</v>
      </c>
      <c r="E1216" s="21">
        <v>909</v>
      </c>
      <c r="F1216" s="11">
        <v>0</v>
      </c>
      <c r="J1216" s="16"/>
    </row>
    <row r="1217" spans="1:10" ht="30.75" thickBot="1" x14ac:dyDescent="0.3">
      <c r="A1217" s="8">
        <v>1216</v>
      </c>
      <c r="B1217" s="9" t="s">
        <v>16</v>
      </c>
      <c r="C1217" s="9" t="s">
        <v>945</v>
      </c>
      <c r="D1217" s="10">
        <v>45047</v>
      </c>
      <c r="E1217" s="21">
        <v>992</v>
      </c>
      <c r="F1217" s="11">
        <v>0</v>
      </c>
      <c r="J1217" s="16"/>
    </row>
    <row r="1218" spans="1:10" ht="15.75" thickBot="1" x14ac:dyDescent="0.3">
      <c r="A1218" s="4">
        <v>1217</v>
      </c>
      <c r="B1218" s="5" t="s">
        <v>18</v>
      </c>
      <c r="C1218" s="5" t="s">
        <v>946</v>
      </c>
      <c r="D1218" s="6">
        <v>44890</v>
      </c>
      <c r="E1218" s="20">
        <v>969</v>
      </c>
      <c r="F1218" s="7">
        <v>0</v>
      </c>
      <c r="J1218" s="16"/>
    </row>
    <row r="1219" spans="1:10" ht="15.75" thickBot="1" x14ac:dyDescent="0.3">
      <c r="A1219" s="4">
        <v>1218</v>
      </c>
      <c r="B1219" s="5" t="s">
        <v>20</v>
      </c>
      <c r="C1219" s="5" t="s">
        <v>947</v>
      </c>
      <c r="D1219" s="6">
        <v>44800</v>
      </c>
      <c r="E1219" s="20">
        <v>885</v>
      </c>
      <c r="F1219" s="7">
        <v>0</v>
      </c>
      <c r="J1219" s="16"/>
    </row>
    <row r="1220" spans="1:10" ht="30.75" thickBot="1" x14ac:dyDescent="0.3">
      <c r="A1220" s="8">
        <v>1219</v>
      </c>
      <c r="B1220" s="9" t="s">
        <v>22</v>
      </c>
      <c r="C1220" s="9" t="s">
        <v>948</v>
      </c>
      <c r="D1220" s="10">
        <v>44903</v>
      </c>
      <c r="E1220" s="21">
        <v>502</v>
      </c>
      <c r="F1220" s="11">
        <v>0</v>
      </c>
      <c r="J1220" s="16"/>
    </row>
    <row r="1221" spans="1:10" ht="30.75" thickBot="1" x14ac:dyDescent="0.3">
      <c r="A1221" s="8">
        <v>1220</v>
      </c>
      <c r="B1221" s="9" t="s">
        <v>24</v>
      </c>
      <c r="C1221" s="9" t="s">
        <v>949</v>
      </c>
      <c r="D1221" s="10">
        <v>44900</v>
      </c>
      <c r="E1221" s="21">
        <v>845</v>
      </c>
      <c r="F1221" s="11">
        <v>0</v>
      </c>
      <c r="J1221" s="16"/>
    </row>
    <row r="1222" spans="1:10" ht="30.75" thickBot="1" x14ac:dyDescent="0.3">
      <c r="A1222" s="4">
        <v>1221</v>
      </c>
      <c r="B1222" s="5" t="s">
        <v>6</v>
      </c>
      <c r="C1222" s="5" t="s">
        <v>950</v>
      </c>
      <c r="D1222" s="6">
        <v>44753</v>
      </c>
      <c r="E1222" s="20">
        <v>453</v>
      </c>
      <c r="F1222" s="7">
        <v>0</v>
      </c>
      <c r="J1222" s="16"/>
    </row>
    <row r="1223" spans="1:10" ht="15.75" thickBot="1" x14ac:dyDescent="0.3">
      <c r="A1223" s="4">
        <v>1222</v>
      </c>
      <c r="B1223" s="5" t="s">
        <v>8</v>
      </c>
      <c r="C1223" s="5" t="s">
        <v>951</v>
      </c>
      <c r="D1223" s="6">
        <v>44793</v>
      </c>
      <c r="E1223" s="20">
        <v>918</v>
      </c>
      <c r="F1223" s="7">
        <v>0</v>
      </c>
      <c r="J1223" s="16"/>
    </row>
    <row r="1224" spans="1:10" ht="30.75" thickBot="1" x14ac:dyDescent="0.3">
      <c r="A1224" s="8">
        <v>1223</v>
      </c>
      <c r="B1224" s="9" t="s">
        <v>10</v>
      </c>
      <c r="C1224" s="9" t="s">
        <v>952</v>
      </c>
      <c r="D1224" s="10">
        <v>44732</v>
      </c>
      <c r="E1224" s="21">
        <v>710</v>
      </c>
      <c r="F1224" s="11">
        <v>0</v>
      </c>
      <c r="J1224" s="16"/>
    </row>
    <row r="1225" spans="1:10" ht="30.75" thickBot="1" x14ac:dyDescent="0.3">
      <c r="A1225" s="8">
        <v>1224</v>
      </c>
      <c r="B1225" s="9" t="s">
        <v>12</v>
      </c>
      <c r="C1225" s="9" t="s">
        <v>953</v>
      </c>
      <c r="D1225" s="10">
        <v>44939</v>
      </c>
      <c r="E1225" s="21">
        <v>624</v>
      </c>
      <c r="F1225" s="11">
        <v>0</v>
      </c>
      <c r="J1225" s="16"/>
    </row>
    <row r="1226" spans="1:10" ht="30.75" thickBot="1" x14ac:dyDescent="0.3">
      <c r="A1226" s="4">
        <v>1225</v>
      </c>
      <c r="B1226" s="5" t="s">
        <v>14</v>
      </c>
      <c r="C1226" s="5" t="s">
        <v>954</v>
      </c>
      <c r="D1226" s="6">
        <v>44891</v>
      </c>
      <c r="E1226" s="20">
        <v>472</v>
      </c>
      <c r="F1226" s="7">
        <v>0</v>
      </c>
      <c r="J1226" s="16"/>
    </row>
    <row r="1227" spans="1:10" ht="30.75" thickBot="1" x14ac:dyDescent="0.3">
      <c r="A1227" s="4">
        <v>1226</v>
      </c>
      <c r="B1227" s="5" t="s">
        <v>16</v>
      </c>
      <c r="C1227" s="5" t="s">
        <v>955</v>
      </c>
      <c r="D1227" s="6">
        <v>44902</v>
      </c>
      <c r="E1227" s="20">
        <v>868</v>
      </c>
      <c r="F1227" s="7">
        <v>0</v>
      </c>
      <c r="J1227" s="16"/>
    </row>
    <row r="1228" spans="1:10" ht="15.75" thickBot="1" x14ac:dyDescent="0.3">
      <c r="A1228" s="8">
        <v>1227</v>
      </c>
      <c r="B1228" s="9" t="s">
        <v>18</v>
      </c>
      <c r="C1228" s="9" t="s">
        <v>956</v>
      </c>
      <c r="D1228" s="10">
        <v>44772</v>
      </c>
      <c r="E1228" s="21">
        <v>553</v>
      </c>
      <c r="F1228" s="11">
        <v>0</v>
      </c>
      <c r="J1228" s="16"/>
    </row>
    <row r="1229" spans="1:10" ht="15.75" thickBot="1" x14ac:dyDescent="0.3">
      <c r="A1229" s="8">
        <v>1228</v>
      </c>
      <c r="B1229" s="9" t="s">
        <v>20</v>
      </c>
      <c r="C1229" s="9" t="s">
        <v>957</v>
      </c>
      <c r="D1229" s="10">
        <v>44983</v>
      </c>
      <c r="E1229" s="21">
        <v>864</v>
      </c>
      <c r="F1229" s="11">
        <v>0</v>
      </c>
      <c r="J1229" s="16"/>
    </row>
    <row r="1230" spans="1:10" ht="30.75" thickBot="1" x14ac:dyDescent="0.3">
      <c r="A1230" s="4">
        <v>1229</v>
      </c>
      <c r="B1230" s="5" t="s">
        <v>22</v>
      </c>
      <c r="C1230" s="5" t="s">
        <v>958</v>
      </c>
      <c r="D1230" s="6">
        <v>44900</v>
      </c>
      <c r="E1230" s="20">
        <v>755</v>
      </c>
      <c r="F1230" s="7">
        <v>0</v>
      </c>
      <c r="J1230" s="16"/>
    </row>
    <row r="1231" spans="1:10" ht="30.75" thickBot="1" x14ac:dyDescent="0.3">
      <c r="A1231" s="4">
        <v>1230</v>
      </c>
      <c r="B1231" s="5" t="s">
        <v>24</v>
      </c>
      <c r="C1231" s="5" t="s">
        <v>959</v>
      </c>
      <c r="D1231" s="6">
        <v>44977</v>
      </c>
      <c r="E1231" s="20">
        <v>606</v>
      </c>
      <c r="F1231" s="7">
        <v>0</v>
      </c>
      <c r="J1231" s="16"/>
    </row>
    <row r="1232" spans="1:10" ht="30.75" thickBot="1" x14ac:dyDescent="0.3">
      <c r="A1232" s="8">
        <v>1231</v>
      </c>
      <c r="B1232" s="9" t="s">
        <v>6</v>
      </c>
      <c r="C1232" s="9" t="s">
        <v>960</v>
      </c>
      <c r="D1232" s="10">
        <v>44762</v>
      </c>
      <c r="E1232" s="21">
        <v>887</v>
      </c>
      <c r="F1232" s="11">
        <v>0</v>
      </c>
      <c r="J1232" s="16"/>
    </row>
    <row r="1233" spans="1:10" ht="15.75" thickBot="1" x14ac:dyDescent="0.3">
      <c r="A1233" s="8">
        <v>1232</v>
      </c>
      <c r="B1233" s="9" t="s">
        <v>8</v>
      </c>
      <c r="C1233" s="9" t="s">
        <v>961</v>
      </c>
      <c r="D1233" s="10">
        <v>45011</v>
      </c>
      <c r="E1233" s="21">
        <v>555</v>
      </c>
      <c r="F1233" s="11">
        <v>0</v>
      </c>
      <c r="J1233" s="16"/>
    </row>
    <row r="1234" spans="1:10" ht="30.75" thickBot="1" x14ac:dyDescent="0.3">
      <c r="A1234" s="4">
        <v>1233</v>
      </c>
      <c r="B1234" s="5" t="s">
        <v>10</v>
      </c>
      <c r="C1234" s="5" t="s">
        <v>962</v>
      </c>
      <c r="D1234" s="6">
        <v>45015</v>
      </c>
      <c r="E1234" s="20">
        <v>522</v>
      </c>
      <c r="F1234" s="7">
        <v>0</v>
      </c>
      <c r="J1234" s="16"/>
    </row>
    <row r="1235" spans="1:10" ht="30.75" thickBot="1" x14ac:dyDescent="0.3">
      <c r="A1235" s="4">
        <v>1234</v>
      </c>
      <c r="B1235" s="5" t="s">
        <v>12</v>
      </c>
      <c r="C1235" s="5" t="s">
        <v>963</v>
      </c>
      <c r="D1235" s="6">
        <v>44816</v>
      </c>
      <c r="E1235" s="20">
        <v>959</v>
      </c>
      <c r="F1235" s="7">
        <v>0</v>
      </c>
      <c r="J1235" s="16"/>
    </row>
    <row r="1236" spans="1:10" ht="30.75" thickBot="1" x14ac:dyDescent="0.3">
      <c r="A1236" s="8">
        <v>1235</v>
      </c>
      <c r="B1236" s="9" t="s">
        <v>14</v>
      </c>
      <c r="C1236" s="9" t="s">
        <v>964</v>
      </c>
      <c r="D1236" s="10">
        <v>44655</v>
      </c>
      <c r="E1236" s="21">
        <v>849</v>
      </c>
      <c r="F1236" s="11">
        <v>0</v>
      </c>
      <c r="J1236" s="16"/>
    </row>
    <row r="1237" spans="1:10" ht="30.75" thickBot="1" x14ac:dyDescent="0.3">
      <c r="A1237" s="8">
        <v>1236</v>
      </c>
      <c r="B1237" s="9" t="s">
        <v>16</v>
      </c>
      <c r="C1237" s="9" t="s">
        <v>965</v>
      </c>
      <c r="D1237" s="10">
        <v>44933</v>
      </c>
      <c r="E1237" s="21">
        <v>934</v>
      </c>
      <c r="F1237" s="11">
        <v>0</v>
      </c>
      <c r="J1237" s="16"/>
    </row>
    <row r="1238" spans="1:10" ht="15.75" thickBot="1" x14ac:dyDescent="0.3">
      <c r="A1238" s="4">
        <v>1237</v>
      </c>
      <c r="B1238" s="5" t="s">
        <v>18</v>
      </c>
      <c r="C1238" s="5" t="s">
        <v>966</v>
      </c>
      <c r="D1238" s="6">
        <v>44963</v>
      </c>
      <c r="E1238" s="20">
        <v>473</v>
      </c>
      <c r="F1238" s="7">
        <v>0</v>
      </c>
      <c r="J1238" s="16"/>
    </row>
    <row r="1239" spans="1:10" ht="15.75" thickBot="1" x14ac:dyDescent="0.3">
      <c r="A1239" s="4">
        <v>1238</v>
      </c>
      <c r="B1239" s="5" t="s">
        <v>20</v>
      </c>
      <c r="C1239" s="5" t="s">
        <v>967</v>
      </c>
      <c r="D1239" s="6">
        <v>44818</v>
      </c>
      <c r="E1239" s="20">
        <v>489</v>
      </c>
      <c r="F1239" s="7">
        <v>0</v>
      </c>
      <c r="J1239" s="16"/>
    </row>
    <row r="1240" spans="1:10" ht="30.75" thickBot="1" x14ac:dyDescent="0.3">
      <c r="A1240" s="8">
        <v>1239</v>
      </c>
      <c r="B1240" s="9" t="s">
        <v>22</v>
      </c>
      <c r="C1240" s="9" t="s">
        <v>968</v>
      </c>
      <c r="D1240" s="10">
        <v>44893</v>
      </c>
      <c r="E1240" s="21">
        <v>416</v>
      </c>
      <c r="F1240" s="11">
        <v>0</v>
      </c>
      <c r="J1240" s="16"/>
    </row>
    <row r="1241" spans="1:10" ht="30.75" thickBot="1" x14ac:dyDescent="0.3">
      <c r="A1241" s="8">
        <v>1240</v>
      </c>
      <c r="B1241" s="9" t="s">
        <v>24</v>
      </c>
      <c r="C1241" s="9" t="s">
        <v>969</v>
      </c>
      <c r="D1241" s="10">
        <v>44728</v>
      </c>
      <c r="E1241" s="21">
        <v>549</v>
      </c>
      <c r="F1241" s="11">
        <v>0</v>
      </c>
      <c r="J1241" s="16"/>
    </row>
    <row r="1242" spans="1:10" ht="30.75" thickBot="1" x14ac:dyDescent="0.3">
      <c r="A1242" s="4">
        <v>1241</v>
      </c>
      <c r="B1242" s="5" t="s">
        <v>6</v>
      </c>
      <c r="C1242" s="5" t="s">
        <v>970</v>
      </c>
      <c r="D1242" s="6">
        <v>44794</v>
      </c>
      <c r="E1242" s="20">
        <v>674</v>
      </c>
      <c r="F1242" s="7">
        <v>0</v>
      </c>
      <c r="J1242" s="16"/>
    </row>
    <row r="1243" spans="1:10" ht="15.75" thickBot="1" x14ac:dyDescent="0.3">
      <c r="A1243" s="4">
        <v>1242</v>
      </c>
      <c r="B1243" s="5" t="s">
        <v>8</v>
      </c>
      <c r="C1243" s="5" t="s">
        <v>971</v>
      </c>
      <c r="D1243" s="6">
        <v>44845</v>
      </c>
      <c r="E1243" s="20">
        <v>445</v>
      </c>
      <c r="F1243" s="7">
        <v>0</v>
      </c>
      <c r="J1243" s="16"/>
    </row>
    <row r="1244" spans="1:10" ht="30.75" thickBot="1" x14ac:dyDescent="0.3">
      <c r="A1244" s="8">
        <v>1243</v>
      </c>
      <c r="B1244" s="9" t="s">
        <v>10</v>
      </c>
      <c r="C1244" s="9" t="s">
        <v>972</v>
      </c>
      <c r="D1244" s="10">
        <v>45012</v>
      </c>
      <c r="E1244" s="21">
        <v>840</v>
      </c>
      <c r="F1244" s="11">
        <v>0</v>
      </c>
      <c r="J1244" s="16"/>
    </row>
    <row r="1245" spans="1:10" ht="30.75" thickBot="1" x14ac:dyDescent="0.3">
      <c r="A1245" s="8">
        <v>1244</v>
      </c>
      <c r="B1245" s="9" t="s">
        <v>12</v>
      </c>
      <c r="C1245" s="9" t="s">
        <v>973</v>
      </c>
      <c r="D1245" s="10">
        <v>44654</v>
      </c>
      <c r="E1245" s="21">
        <v>674</v>
      </c>
      <c r="F1245" s="11">
        <v>0</v>
      </c>
      <c r="J1245" s="16"/>
    </row>
    <row r="1246" spans="1:10" ht="30.75" thickBot="1" x14ac:dyDescent="0.3">
      <c r="A1246" s="4">
        <v>1245</v>
      </c>
      <c r="B1246" s="5" t="s">
        <v>14</v>
      </c>
      <c r="C1246" s="5" t="s">
        <v>974</v>
      </c>
      <c r="D1246" s="6">
        <v>44823</v>
      </c>
      <c r="E1246" s="20">
        <v>946</v>
      </c>
      <c r="F1246" s="7">
        <v>0</v>
      </c>
      <c r="J1246" s="16"/>
    </row>
    <row r="1247" spans="1:10" ht="30.75" thickBot="1" x14ac:dyDescent="0.3">
      <c r="A1247" s="4">
        <v>1246</v>
      </c>
      <c r="B1247" s="5" t="s">
        <v>16</v>
      </c>
      <c r="C1247" s="5" t="s">
        <v>975</v>
      </c>
      <c r="D1247" s="6">
        <v>44931</v>
      </c>
      <c r="E1247" s="20">
        <v>877</v>
      </c>
      <c r="F1247" s="7">
        <v>0</v>
      </c>
      <c r="J1247" s="16"/>
    </row>
    <row r="1248" spans="1:10" ht="15.75" thickBot="1" x14ac:dyDescent="0.3">
      <c r="A1248" s="8">
        <v>1247</v>
      </c>
      <c r="B1248" s="9" t="s">
        <v>18</v>
      </c>
      <c r="C1248" s="9" t="s">
        <v>976</v>
      </c>
      <c r="D1248" s="10">
        <v>44732</v>
      </c>
      <c r="E1248" s="21">
        <v>427</v>
      </c>
      <c r="F1248" s="11">
        <v>0</v>
      </c>
      <c r="J1248" s="16"/>
    </row>
    <row r="1249" spans="1:10" ht="15.75" thickBot="1" x14ac:dyDescent="0.3">
      <c r="A1249" s="8">
        <v>1248</v>
      </c>
      <c r="B1249" s="9" t="s">
        <v>20</v>
      </c>
      <c r="C1249" s="9" t="s">
        <v>977</v>
      </c>
      <c r="D1249" s="10">
        <v>44906</v>
      </c>
      <c r="E1249" s="21">
        <v>907</v>
      </c>
      <c r="F1249" s="11">
        <v>0</v>
      </c>
      <c r="J1249" s="16"/>
    </row>
    <row r="1250" spans="1:10" ht="30.75" thickBot="1" x14ac:dyDescent="0.3">
      <c r="A1250" s="4">
        <v>1249</v>
      </c>
      <c r="B1250" s="5" t="s">
        <v>22</v>
      </c>
      <c r="C1250" s="5" t="s">
        <v>978</v>
      </c>
      <c r="D1250" s="6">
        <v>44797</v>
      </c>
      <c r="E1250" s="20">
        <v>808</v>
      </c>
      <c r="F1250" s="7">
        <v>0</v>
      </c>
      <c r="J1250" s="16"/>
    </row>
    <row r="1251" spans="1:10" ht="30.75" thickBot="1" x14ac:dyDescent="0.3">
      <c r="A1251" s="4">
        <v>1250</v>
      </c>
      <c r="B1251" s="5" t="s">
        <v>24</v>
      </c>
      <c r="C1251" s="5" t="s">
        <v>979</v>
      </c>
      <c r="D1251" s="6">
        <v>44673</v>
      </c>
      <c r="E1251" s="20">
        <v>757</v>
      </c>
      <c r="F1251" s="7">
        <v>0</v>
      </c>
      <c r="J1251" s="16"/>
    </row>
    <row r="1252" spans="1:10" ht="30.75" thickBot="1" x14ac:dyDescent="0.3">
      <c r="A1252" s="8">
        <v>1251</v>
      </c>
      <c r="B1252" s="9" t="s">
        <v>6</v>
      </c>
      <c r="C1252" s="9" t="s">
        <v>980</v>
      </c>
      <c r="D1252" s="10">
        <v>44821</v>
      </c>
      <c r="E1252" s="21">
        <v>686</v>
      </c>
      <c r="F1252" s="11">
        <v>0</v>
      </c>
      <c r="J1252" s="16"/>
    </row>
    <row r="1253" spans="1:10" ht="15.75" thickBot="1" x14ac:dyDescent="0.3">
      <c r="A1253" s="8">
        <v>1252</v>
      </c>
      <c r="B1253" s="9" t="s">
        <v>8</v>
      </c>
      <c r="C1253" s="9" t="s">
        <v>981</v>
      </c>
      <c r="D1253" s="10">
        <v>44735</v>
      </c>
      <c r="E1253" s="21">
        <v>536</v>
      </c>
      <c r="F1253" s="11">
        <v>0</v>
      </c>
      <c r="J1253" s="16"/>
    </row>
    <row r="1254" spans="1:10" ht="30.75" thickBot="1" x14ac:dyDescent="0.3">
      <c r="A1254" s="4">
        <v>1253</v>
      </c>
      <c r="B1254" s="5" t="s">
        <v>10</v>
      </c>
      <c r="C1254" s="5" t="s">
        <v>982</v>
      </c>
      <c r="D1254" s="6">
        <v>44667</v>
      </c>
      <c r="E1254" s="20">
        <v>553</v>
      </c>
      <c r="F1254" s="7">
        <v>0</v>
      </c>
      <c r="J1254" s="16"/>
    </row>
    <row r="1255" spans="1:10" ht="30.75" thickBot="1" x14ac:dyDescent="0.3">
      <c r="A1255" s="4">
        <v>1254</v>
      </c>
      <c r="B1255" s="5" t="s">
        <v>12</v>
      </c>
      <c r="C1255" s="5" t="s">
        <v>983</v>
      </c>
      <c r="D1255" s="6">
        <v>45012</v>
      </c>
      <c r="E1255" s="20">
        <v>737</v>
      </c>
      <c r="F1255" s="7">
        <v>0</v>
      </c>
      <c r="J1255" s="16"/>
    </row>
    <row r="1256" spans="1:10" ht="30.75" thickBot="1" x14ac:dyDescent="0.3">
      <c r="A1256" s="8">
        <v>1255</v>
      </c>
      <c r="B1256" s="9" t="s">
        <v>14</v>
      </c>
      <c r="C1256" s="9" t="s">
        <v>984</v>
      </c>
      <c r="D1256" s="10">
        <v>44986</v>
      </c>
      <c r="E1256" s="21">
        <v>623</v>
      </c>
      <c r="F1256" s="11">
        <v>0</v>
      </c>
      <c r="J1256" s="16"/>
    </row>
    <row r="1257" spans="1:10" ht="30.75" thickBot="1" x14ac:dyDescent="0.3">
      <c r="A1257" s="8">
        <v>1256</v>
      </c>
      <c r="B1257" s="9" t="s">
        <v>16</v>
      </c>
      <c r="C1257" s="9" t="s">
        <v>985</v>
      </c>
      <c r="D1257" s="10">
        <v>44713</v>
      </c>
      <c r="E1257" s="21">
        <v>447</v>
      </c>
      <c r="F1257" s="11">
        <v>0</v>
      </c>
      <c r="J1257" s="16"/>
    </row>
    <row r="1258" spans="1:10" ht="15.75" thickBot="1" x14ac:dyDescent="0.3">
      <c r="A1258" s="4">
        <v>1257</v>
      </c>
      <c r="B1258" s="5" t="s">
        <v>18</v>
      </c>
      <c r="C1258" s="5" t="s">
        <v>986</v>
      </c>
      <c r="D1258" s="6">
        <v>44695</v>
      </c>
      <c r="E1258" s="20">
        <v>896</v>
      </c>
      <c r="F1258" s="7">
        <v>0</v>
      </c>
      <c r="J1258" s="16"/>
    </row>
    <row r="1259" spans="1:10" ht="15.75" thickBot="1" x14ac:dyDescent="0.3">
      <c r="A1259" s="4">
        <v>1258</v>
      </c>
      <c r="B1259" s="5" t="s">
        <v>20</v>
      </c>
      <c r="C1259" s="5" t="s">
        <v>987</v>
      </c>
      <c r="D1259" s="6">
        <v>44868</v>
      </c>
      <c r="E1259" s="20">
        <v>564</v>
      </c>
      <c r="F1259" s="7">
        <v>0</v>
      </c>
      <c r="J1259" s="16"/>
    </row>
    <row r="1260" spans="1:10" ht="30.75" thickBot="1" x14ac:dyDescent="0.3">
      <c r="A1260" s="8">
        <v>1259</v>
      </c>
      <c r="B1260" s="9" t="s">
        <v>22</v>
      </c>
      <c r="C1260" s="9" t="s">
        <v>988</v>
      </c>
      <c r="D1260" s="10">
        <v>44930</v>
      </c>
      <c r="E1260" s="21">
        <v>468</v>
      </c>
      <c r="F1260" s="11">
        <v>0</v>
      </c>
      <c r="J1260" s="16"/>
    </row>
    <row r="1261" spans="1:10" ht="30.75" thickBot="1" x14ac:dyDescent="0.3">
      <c r="A1261" s="8">
        <v>1260</v>
      </c>
      <c r="B1261" s="9" t="s">
        <v>24</v>
      </c>
      <c r="C1261" s="9" t="s">
        <v>989</v>
      </c>
      <c r="D1261" s="10">
        <v>44895</v>
      </c>
      <c r="E1261" s="21">
        <v>557</v>
      </c>
      <c r="F1261" s="11">
        <v>0</v>
      </c>
      <c r="J1261" s="16"/>
    </row>
    <row r="1262" spans="1:10" ht="30.75" thickBot="1" x14ac:dyDescent="0.3">
      <c r="A1262" s="4">
        <v>1261</v>
      </c>
      <c r="B1262" s="5" t="s">
        <v>6</v>
      </c>
      <c r="C1262" s="5" t="s">
        <v>990</v>
      </c>
      <c r="D1262" s="6">
        <v>44825</v>
      </c>
      <c r="E1262" s="20">
        <v>766</v>
      </c>
      <c r="F1262" s="7">
        <v>0</v>
      </c>
      <c r="J1262" s="16"/>
    </row>
    <row r="1263" spans="1:10" ht="15.75" thickBot="1" x14ac:dyDescent="0.3">
      <c r="A1263" s="4">
        <v>1262</v>
      </c>
      <c r="B1263" s="5" t="s">
        <v>8</v>
      </c>
      <c r="C1263" s="5" t="s">
        <v>991</v>
      </c>
      <c r="D1263" s="6">
        <v>44625</v>
      </c>
      <c r="E1263" s="20">
        <v>447</v>
      </c>
      <c r="F1263" s="7">
        <v>0</v>
      </c>
      <c r="J1263" s="16"/>
    </row>
    <row r="1264" spans="1:10" ht="30.75" thickBot="1" x14ac:dyDescent="0.3">
      <c r="A1264" s="8">
        <v>1263</v>
      </c>
      <c r="B1264" s="9" t="s">
        <v>10</v>
      </c>
      <c r="C1264" s="9" t="s">
        <v>992</v>
      </c>
      <c r="D1264" s="10">
        <v>44748</v>
      </c>
      <c r="E1264" s="21">
        <v>823</v>
      </c>
      <c r="F1264" s="11">
        <v>0</v>
      </c>
      <c r="J1264" s="16"/>
    </row>
    <row r="1265" spans="1:10" ht="30.75" thickBot="1" x14ac:dyDescent="0.3">
      <c r="A1265" s="8">
        <v>1264</v>
      </c>
      <c r="B1265" s="9" t="s">
        <v>12</v>
      </c>
      <c r="C1265" s="9" t="s">
        <v>993</v>
      </c>
      <c r="D1265" s="10">
        <v>44905</v>
      </c>
      <c r="E1265" s="21">
        <v>693</v>
      </c>
      <c r="F1265" s="11">
        <v>0</v>
      </c>
      <c r="J1265" s="16"/>
    </row>
    <row r="1266" spans="1:10" ht="30.75" thickBot="1" x14ac:dyDescent="0.3">
      <c r="A1266" s="4">
        <v>1265</v>
      </c>
      <c r="B1266" s="5" t="s">
        <v>14</v>
      </c>
      <c r="C1266" s="5" t="s">
        <v>994</v>
      </c>
      <c r="D1266" s="6">
        <v>44974</v>
      </c>
      <c r="E1266" s="20">
        <v>762</v>
      </c>
      <c r="F1266" s="7">
        <v>0</v>
      </c>
      <c r="J1266" s="16"/>
    </row>
    <row r="1267" spans="1:10" ht="30.75" thickBot="1" x14ac:dyDescent="0.3">
      <c r="A1267" s="4">
        <v>1266</v>
      </c>
      <c r="B1267" s="5" t="s">
        <v>16</v>
      </c>
      <c r="C1267" s="5" t="s">
        <v>995</v>
      </c>
      <c r="D1267" s="6">
        <v>44938</v>
      </c>
      <c r="E1267" s="20">
        <v>880</v>
      </c>
      <c r="F1267" s="7">
        <v>0</v>
      </c>
      <c r="J1267" s="16"/>
    </row>
    <row r="1268" spans="1:10" ht="15.75" thickBot="1" x14ac:dyDescent="0.3">
      <c r="A1268" s="8">
        <v>1267</v>
      </c>
      <c r="B1268" s="9" t="s">
        <v>18</v>
      </c>
      <c r="C1268" s="9" t="s">
        <v>996</v>
      </c>
      <c r="D1268" s="10">
        <v>44733</v>
      </c>
      <c r="E1268" s="21">
        <v>895</v>
      </c>
      <c r="F1268" s="11">
        <v>0</v>
      </c>
      <c r="J1268" s="16"/>
    </row>
    <row r="1269" spans="1:10" ht="15.75" thickBot="1" x14ac:dyDescent="0.3">
      <c r="A1269" s="8">
        <v>1268</v>
      </c>
      <c r="B1269" s="9" t="s">
        <v>20</v>
      </c>
      <c r="C1269" s="9" t="s">
        <v>997</v>
      </c>
      <c r="D1269" s="10">
        <v>44967</v>
      </c>
      <c r="E1269" s="21">
        <v>534</v>
      </c>
      <c r="F1269" s="11">
        <v>0</v>
      </c>
      <c r="J1269" s="16"/>
    </row>
    <row r="1270" spans="1:10" ht="30.75" thickBot="1" x14ac:dyDescent="0.3">
      <c r="A1270" s="4">
        <v>1269</v>
      </c>
      <c r="B1270" s="5" t="s">
        <v>22</v>
      </c>
      <c r="C1270" s="5" t="s">
        <v>998</v>
      </c>
      <c r="D1270" s="6">
        <v>44845</v>
      </c>
      <c r="E1270" s="20">
        <v>932</v>
      </c>
      <c r="F1270" s="7">
        <v>0</v>
      </c>
      <c r="J1270" s="16"/>
    </row>
    <row r="1271" spans="1:10" ht="30.75" thickBot="1" x14ac:dyDescent="0.3">
      <c r="A1271" s="4">
        <v>1270</v>
      </c>
      <c r="B1271" s="5" t="s">
        <v>24</v>
      </c>
      <c r="C1271" s="5" t="s">
        <v>999</v>
      </c>
      <c r="D1271" s="6">
        <v>44715</v>
      </c>
      <c r="E1271" s="20">
        <v>755</v>
      </c>
      <c r="F1271" s="7">
        <v>0</v>
      </c>
      <c r="J1271" s="16"/>
    </row>
    <row r="1272" spans="1:10" ht="30.75" thickBot="1" x14ac:dyDescent="0.3">
      <c r="A1272" s="8">
        <v>1271</v>
      </c>
      <c r="B1272" s="9" t="s">
        <v>6</v>
      </c>
      <c r="C1272" s="9" t="s">
        <v>1000</v>
      </c>
      <c r="D1272" s="10">
        <v>44929</v>
      </c>
      <c r="E1272" s="21">
        <v>602</v>
      </c>
      <c r="F1272" s="11">
        <v>0</v>
      </c>
      <c r="J1272" s="16"/>
    </row>
    <row r="1273" spans="1:10" ht="15.75" thickBot="1" x14ac:dyDescent="0.3">
      <c r="A1273" s="8">
        <v>1272</v>
      </c>
      <c r="B1273" s="9" t="s">
        <v>8</v>
      </c>
      <c r="C1273" s="9" t="s">
        <v>1001</v>
      </c>
      <c r="D1273" s="10">
        <v>44856</v>
      </c>
      <c r="E1273" s="21">
        <v>948</v>
      </c>
      <c r="F1273" s="11">
        <v>0</v>
      </c>
      <c r="J1273" s="16"/>
    </row>
    <row r="1274" spans="1:10" ht="30.75" thickBot="1" x14ac:dyDescent="0.3">
      <c r="A1274" s="4">
        <v>1273</v>
      </c>
      <c r="B1274" s="5" t="s">
        <v>10</v>
      </c>
      <c r="C1274" s="5" t="s">
        <v>1002</v>
      </c>
      <c r="D1274" s="6">
        <v>44690</v>
      </c>
      <c r="E1274" s="20">
        <v>829</v>
      </c>
      <c r="F1274" s="7">
        <v>0</v>
      </c>
      <c r="J1274" s="16"/>
    </row>
    <row r="1275" spans="1:10" ht="30.75" thickBot="1" x14ac:dyDescent="0.3">
      <c r="A1275" s="4">
        <v>1274</v>
      </c>
      <c r="B1275" s="5" t="s">
        <v>12</v>
      </c>
      <c r="C1275" s="5" t="s">
        <v>1003</v>
      </c>
      <c r="D1275" s="6">
        <v>44930</v>
      </c>
      <c r="E1275" s="20">
        <v>966</v>
      </c>
      <c r="F1275" s="7">
        <v>0</v>
      </c>
      <c r="J1275" s="16"/>
    </row>
    <row r="1276" spans="1:10" ht="30.75" thickBot="1" x14ac:dyDescent="0.3">
      <c r="A1276" s="8">
        <v>1275</v>
      </c>
      <c r="B1276" s="9" t="s">
        <v>14</v>
      </c>
      <c r="C1276" s="9" t="s">
        <v>1004</v>
      </c>
      <c r="D1276" s="10">
        <v>44618</v>
      </c>
      <c r="E1276" s="21">
        <v>436</v>
      </c>
      <c r="F1276" s="11">
        <v>0</v>
      </c>
      <c r="J1276" s="16"/>
    </row>
    <row r="1277" spans="1:10" ht="30.75" thickBot="1" x14ac:dyDescent="0.3">
      <c r="A1277" s="8">
        <v>1276</v>
      </c>
      <c r="B1277" s="9" t="s">
        <v>16</v>
      </c>
      <c r="C1277" s="9" t="s">
        <v>1005</v>
      </c>
      <c r="D1277" s="10">
        <v>44798</v>
      </c>
      <c r="E1277" s="21">
        <v>843</v>
      </c>
      <c r="F1277" s="11">
        <v>0</v>
      </c>
      <c r="J1277" s="16"/>
    </row>
    <row r="1278" spans="1:10" ht="15.75" thickBot="1" x14ac:dyDescent="0.3">
      <c r="A1278" s="4">
        <v>1277</v>
      </c>
      <c r="B1278" s="5" t="s">
        <v>18</v>
      </c>
      <c r="C1278" s="5" t="s">
        <v>1006</v>
      </c>
      <c r="D1278" s="6">
        <v>44664</v>
      </c>
      <c r="E1278" s="20">
        <v>505</v>
      </c>
      <c r="F1278" s="7">
        <v>0</v>
      </c>
      <c r="J1278" s="16"/>
    </row>
    <row r="1279" spans="1:10" ht="15.75" thickBot="1" x14ac:dyDescent="0.3">
      <c r="A1279" s="4">
        <v>1278</v>
      </c>
      <c r="B1279" s="5" t="s">
        <v>20</v>
      </c>
      <c r="C1279" s="5" t="s">
        <v>1007</v>
      </c>
      <c r="D1279" s="6">
        <v>44811</v>
      </c>
      <c r="E1279" s="20">
        <v>773</v>
      </c>
      <c r="F1279" s="7">
        <v>0</v>
      </c>
      <c r="J1279" s="16"/>
    </row>
    <row r="1280" spans="1:10" ht="30.75" thickBot="1" x14ac:dyDescent="0.3">
      <c r="A1280" s="8">
        <v>1279</v>
      </c>
      <c r="B1280" s="9" t="s">
        <v>22</v>
      </c>
      <c r="C1280" s="9" t="s">
        <v>1008</v>
      </c>
      <c r="D1280" s="10">
        <v>44772</v>
      </c>
      <c r="E1280" s="21">
        <v>856</v>
      </c>
      <c r="F1280" s="11">
        <v>0</v>
      </c>
      <c r="J1280" s="16"/>
    </row>
    <row r="1281" spans="1:10" ht="30.75" thickBot="1" x14ac:dyDescent="0.3">
      <c r="A1281" s="8">
        <v>1280</v>
      </c>
      <c r="B1281" s="9" t="s">
        <v>24</v>
      </c>
      <c r="C1281" s="9" t="s">
        <v>1009</v>
      </c>
      <c r="D1281" s="10">
        <v>44939</v>
      </c>
      <c r="E1281" s="21">
        <v>598</v>
      </c>
      <c r="F1281" s="11">
        <v>0</v>
      </c>
      <c r="J1281" s="16"/>
    </row>
    <row r="1282" spans="1:10" ht="30.75" thickBot="1" x14ac:dyDescent="0.3">
      <c r="A1282" s="4">
        <v>1281</v>
      </c>
      <c r="B1282" s="5" t="s">
        <v>6</v>
      </c>
      <c r="C1282" s="5" t="s">
        <v>1010</v>
      </c>
      <c r="D1282" s="6">
        <v>44960</v>
      </c>
      <c r="E1282" s="20">
        <v>439</v>
      </c>
      <c r="F1282" s="7">
        <v>0</v>
      </c>
      <c r="J1282" s="16"/>
    </row>
    <row r="1283" spans="1:10" ht="15.75" thickBot="1" x14ac:dyDescent="0.3">
      <c r="A1283" s="4">
        <v>1282</v>
      </c>
      <c r="B1283" s="5" t="s">
        <v>8</v>
      </c>
      <c r="C1283" s="5" t="s">
        <v>1011</v>
      </c>
      <c r="D1283" s="6">
        <v>44649</v>
      </c>
      <c r="E1283" s="20">
        <v>550</v>
      </c>
      <c r="F1283" s="7">
        <v>0</v>
      </c>
      <c r="J1283" s="16"/>
    </row>
    <row r="1284" spans="1:10" ht="30.75" thickBot="1" x14ac:dyDescent="0.3">
      <c r="A1284" s="8">
        <v>1283</v>
      </c>
      <c r="B1284" s="9" t="s">
        <v>10</v>
      </c>
      <c r="C1284" s="9" t="s">
        <v>1012</v>
      </c>
      <c r="D1284" s="10">
        <v>44751</v>
      </c>
      <c r="E1284" s="21">
        <v>905</v>
      </c>
      <c r="F1284" s="11">
        <v>0</v>
      </c>
      <c r="J1284" s="16"/>
    </row>
    <row r="1285" spans="1:10" ht="30.75" thickBot="1" x14ac:dyDescent="0.3">
      <c r="A1285" s="8">
        <v>1284</v>
      </c>
      <c r="B1285" s="9" t="s">
        <v>12</v>
      </c>
      <c r="C1285" s="9" t="s">
        <v>1013</v>
      </c>
      <c r="D1285" s="10">
        <v>44672</v>
      </c>
      <c r="E1285" s="21">
        <v>702</v>
      </c>
      <c r="F1285" s="11">
        <v>0</v>
      </c>
      <c r="J1285" s="16"/>
    </row>
    <row r="1286" spans="1:10" ht="30.75" thickBot="1" x14ac:dyDescent="0.3">
      <c r="A1286" s="4">
        <v>1285</v>
      </c>
      <c r="B1286" s="5" t="s">
        <v>14</v>
      </c>
      <c r="C1286" s="5" t="s">
        <v>1014</v>
      </c>
      <c r="D1286" s="6">
        <v>44645</v>
      </c>
      <c r="E1286" s="20">
        <v>507</v>
      </c>
      <c r="F1286" s="7">
        <v>0</v>
      </c>
      <c r="J1286" s="16"/>
    </row>
    <row r="1287" spans="1:10" ht="30.75" thickBot="1" x14ac:dyDescent="0.3">
      <c r="A1287" s="4">
        <v>1286</v>
      </c>
      <c r="B1287" s="5" t="s">
        <v>16</v>
      </c>
      <c r="C1287" s="5" t="s">
        <v>1015</v>
      </c>
      <c r="D1287" s="6">
        <v>44726</v>
      </c>
      <c r="E1287" s="20">
        <v>751</v>
      </c>
      <c r="F1287" s="7">
        <v>0</v>
      </c>
      <c r="J1287" s="16"/>
    </row>
    <row r="1288" spans="1:10" ht="15.75" thickBot="1" x14ac:dyDescent="0.3">
      <c r="A1288" s="8">
        <v>1287</v>
      </c>
      <c r="B1288" s="9" t="s">
        <v>18</v>
      </c>
      <c r="C1288" s="9" t="s">
        <v>1016</v>
      </c>
      <c r="D1288" s="10">
        <v>44987</v>
      </c>
      <c r="E1288" s="21">
        <v>730</v>
      </c>
      <c r="F1288" s="11">
        <v>0</v>
      </c>
      <c r="J1288" s="16"/>
    </row>
    <row r="1289" spans="1:10" ht="15.75" thickBot="1" x14ac:dyDescent="0.3">
      <c r="A1289" s="8">
        <v>1288</v>
      </c>
      <c r="B1289" s="9" t="s">
        <v>20</v>
      </c>
      <c r="C1289" s="9" t="s">
        <v>1017</v>
      </c>
      <c r="D1289" s="10">
        <v>44743</v>
      </c>
      <c r="E1289" s="21">
        <v>872</v>
      </c>
      <c r="F1289" s="11">
        <v>0</v>
      </c>
      <c r="J1289" s="16"/>
    </row>
    <row r="1290" spans="1:10" ht="30.75" thickBot="1" x14ac:dyDescent="0.3">
      <c r="A1290" s="4">
        <v>1289</v>
      </c>
      <c r="B1290" s="5" t="s">
        <v>22</v>
      </c>
      <c r="C1290" s="5" t="s">
        <v>1018</v>
      </c>
      <c r="D1290" s="6">
        <v>44916</v>
      </c>
      <c r="E1290" s="20">
        <v>983</v>
      </c>
      <c r="F1290" s="7">
        <v>0</v>
      </c>
      <c r="J1290" s="16"/>
    </row>
    <row r="1291" spans="1:10" ht="30.75" thickBot="1" x14ac:dyDescent="0.3">
      <c r="A1291" s="4">
        <v>1290</v>
      </c>
      <c r="B1291" s="5" t="s">
        <v>24</v>
      </c>
      <c r="C1291" s="5" t="s">
        <v>1019</v>
      </c>
      <c r="D1291" s="6">
        <v>44839</v>
      </c>
      <c r="E1291" s="20">
        <v>559</v>
      </c>
      <c r="F1291" s="7">
        <v>0</v>
      </c>
      <c r="J1291" s="16"/>
    </row>
    <row r="1292" spans="1:10" ht="30.75" thickBot="1" x14ac:dyDescent="0.3">
      <c r="A1292" s="8">
        <v>1291</v>
      </c>
      <c r="B1292" s="9" t="s">
        <v>6</v>
      </c>
      <c r="C1292" s="9" t="s">
        <v>1020</v>
      </c>
      <c r="D1292" s="10">
        <v>44834</v>
      </c>
      <c r="E1292" s="21">
        <v>716</v>
      </c>
      <c r="F1292" s="11">
        <v>0</v>
      </c>
      <c r="J1292" s="16"/>
    </row>
    <row r="1293" spans="1:10" ht="15.75" thickBot="1" x14ac:dyDescent="0.3">
      <c r="A1293" s="8">
        <v>1292</v>
      </c>
      <c r="B1293" s="9" t="s">
        <v>8</v>
      </c>
      <c r="C1293" s="9" t="s">
        <v>1021</v>
      </c>
      <c r="D1293" s="10">
        <v>44777</v>
      </c>
      <c r="E1293" s="21">
        <v>689</v>
      </c>
      <c r="F1293" s="11">
        <v>0</v>
      </c>
      <c r="J1293" s="16"/>
    </row>
    <row r="1294" spans="1:10" ht="30.75" thickBot="1" x14ac:dyDescent="0.3">
      <c r="A1294" s="4">
        <v>1293</v>
      </c>
      <c r="B1294" s="5" t="s">
        <v>10</v>
      </c>
      <c r="C1294" s="5" t="s">
        <v>1022</v>
      </c>
      <c r="D1294" s="6">
        <v>44952</v>
      </c>
      <c r="E1294" s="20">
        <v>606</v>
      </c>
      <c r="F1294" s="7">
        <v>0</v>
      </c>
      <c r="J1294" s="16"/>
    </row>
    <row r="1295" spans="1:10" ht="30.75" thickBot="1" x14ac:dyDescent="0.3">
      <c r="A1295" s="4">
        <v>1294</v>
      </c>
      <c r="B1295" s="5" t="s">
        <v>12</v>
      </c>
      <c r="C1295" s="5" t="s">
        <v>1023</v>
      </c>
      <c r="D1295" s="6">
        <v>44783</v>
      </c>
      <c r="E1295" s="20">
        <v>583</v>
      </c>
      <c r="F1295" s="7">
        <v>0</v>
      </c>
      <c r="J1295" s="16"/>
    </row>
    <row r="1296" spans="1:10" ht="30.75" thickBot="1" x14ac:dyDescent="0.3">
      <c r="A1296" s="8">
        <v>1295</v>
      </c>
      <c r="B1296" s="9" t="s">
        <v>14</v>
      </c>
      <c r="C1296" s="9" t="s">
        <v>1024</v>
      </c>
      <c r="D1296" s="10">
        <v>44797</v>
      </c>
      <c r="E1296" s="21">
        <v>589</v>
      </c>
      <c r="F1296" s="11">
        <v>0</v>
      </c>
      <c r="J1296" s="16"/>
    </row>
    <row r="1297" spans="1:10" ht="30.75" thickBot="1" x14ac:dyDescent="0.3">
      <c r="A1297" s="8">
        <v>1296</v>
      </c>
      <c r="B1297" s="9" t="s">
        <v>16</v>
      </c>
      <c r="C1297" s="9" t="s">
        <v>1025</v>
      </c>
      <c r="D1297" s="10">
        <v>44598</v>
      </c>
      <c r="E1297" s="21">
        <v>802</v>
      </c>
      <c r="F1297" s="11">
        <v>0</v>
      </c>
      <c r="J1297" s="16"/>
    </row>
    <row r="1298" spans="1:10" ht="15.75" thickBot="1" x14ac:dyDescent="0.3">
      <c r="A1298" s="4">
        <v>1297</v>
      </c>
      <c r="B1298" s="5" t="s">
        <v>18</v>
      </c>
      <c r="C1298" s="5" t="s">
        <v>1026</v>
      </c>
      <c r="D1298" s="6">
        <v>44922</v>
      </c>
      <c r="E1298" s="20">
        <v>597</v>
      </c>
      <c r="F1298" s="7">
        <v>0</v>
      </c>
      <c r="J1298" s="16"/>
    </row>
    <row r="1299" spans="1:10" ht="15.75" thickBot="1" x14ac:dyDescent="0.3">
      <c r="A1299" s="4">
        <v>1298</v>
      </c>
      <c r="B1299" s="5" t="s">
        <v>20</v>
      </c>
      <c r="C1299" s="5" t="s">
        <v>1027</v>
      </c>
      <c r="D1299" s="6">
        <v>44890</v>
      </c>
      <c r="E1299" s="20">
        <v>639</v>
      </c>
      <c r="F1299" s="7">
        <v>0</v>
      </c>
      <c r="J1299" s="16"/>
    </row>
    <row r="1300" spans="1:10" ht="30.75" thickBot="1" x14ac:dyDescent="0.3">
      <c r="A1300" s="8">
        <v>1299</v>
      </c>
      <c r="B1300" s="9" t="s">
        <v>22</v>
      </c>
      <c r="C1300" s="9" t="s">
        <v>1028</v>
      </c>
      <c r="D1300" s="10">
        <v>44674</v>
      </c>
      <c r="E1300" s="21">
        <v>897</v>
      </c>
      <c r="F1300" s="11">
        <v>0</v>
      </c>
      <c r="J1300" s="16"/>
    </row>
    <row r="1301" spans="1:10" ht="30.75" thickBot="1" x14ac:dyDescent="0.3">
      <c r="A1301" s="8">
        <v>1300</v>
      </c>
      <c r="B1301" s="9" t="s">
        <v>24</v>
      </c>
      <c r="C1301" s="9" t="s">
        <v>1029</v>
      </c>
      <c r="D1301" s="10">
        <v>44922</v>
      </c>
      <c r="E1301" s="21">
        <v>836</v>
      </c>
      <c r="F1301" s="11">
        <v>0</v>
      </c>
      <c r="J1301" s="16"/>
    </row>
    <row r="1302" spans="1:10" ht="30.75" thickBot="1" x14ac:dyDescent="0.3">
      <c r="A1302" s="4">
        <v>1301</v>
      </c>
      <c r="B1302" s="5" t="s">
        <v>6</v>
      </c>
      <c r="C1302" s="5" t="s">
        <v>1030</v>
      </c>
      <c r="D1302" s="6">
        <v>44771</v>
      </c>
      <c r="E1302" s="20">
        <v>689</v>
      </c>
      <c r="F1302" s="7">
        <v>0</v>
      </c>
      <c r="J1302" s="16"/>
    </row>
    <row r="1303" spans="1:10" ht="15.75" thickBot="1" x14ac:dyDescent="0.3">
      <c r="A1303" s="4">
        <v>1302</v>
      </c>
      <c r="B1303" s="5" t="s">
        <v>8</v>
      </c>
      <c r="C1303" s="5" t="s">
        <v>1031</v>
      </c>
      <c r="D1303" s="6">
        <v>44585</v>
      </c>
      <c r="E1303" s="20">
        <v>954</v>
      </c>
      <c r="F1303" s="7">
        <v>0</v>
      </c>
      <c r="J1303" s="16"/>
    </row>
    <row r="1304" spans="1:10" ht="30.75" thickBot="1" x14ac:dyDescent="0.3">
      <c r="A1304" s="8">
        <v>1303</v>
      </c>
      <c r="B1304" s="9" t="s">
        <v>10</v>
      </c>
      <c r="C1304" s="9" t="s">
        <v>1032</v>
      </c>
      <c r="D1304" s="10">
        <v>45017</v>
      </c>
      <c r="E1304" s="21">
        <v>475</v>
      </c>
      <c r="F1304" s="11">
        <v>0</v>
      </c>
      <c r="J1304" s="16"/>
    </row>
    <row r="1305" spans="1:10" ht="30.75" thickBot="1" x14ac:dyDescent="0.3">
      <c r="A1305" s="8">
        <v>1304</v>
      </c>
      <c r="B1305" s="9" t="s">
        <v>12</v>
      </c>
      <c r="C1305" s="9" t="s">
        <v>1033</v>
      </c>
      <c r="D1305" s="10">
        <v>44752</v>
      </c>
      <c r="E1305" s="21">
        <v>464</v>
      </c>
      <c r="F1305" s="11">
        <v>0</v>
      </c>
      <c r="J1305" s="16"/>
    </row>
    <row r="1306" spans="1:10" ht="30.75" thickBot="1" x14ac:dyDescent="0.3">
      <c r="A1306" s="4">
        <v>1305</v>
      </c>
      <c r="B1306" s="5" t="s">
        <v>14</v>
      </c>
      <c r="C1306" s="5" t="s">
        <v>1034</v>
      </c>
      <c r="D1306" s="6">
        <v>44792</v>
      </c>
      <c r="E1306" s="20">
        <v>932</v>
      </c>
      <c r="F1306" s="7">
        <v>0</v>
      </c>
      <c r="J1306" s="16"/>
    </row>
    <row r="1307" spans="1:10" ht="30.75" thickBot="1" x14ac:dyDescent="0.3">
      <c r="A1307" s="4">
        <v>1306</v>
      </c>
      <c r="B1307" s="5" t="s">
        <v>16</v>
      </c>
      <c r="C1307" s="5" t="s">
        <v>1035</v>
      </c>
      <c r="D1307" s="6">
        <v>44660</v>
      </c>
      <c r="E1307" s="20">
        <v>882</v>
      </c>
      <c r="F1307" s="7">
        <v>0</v>
      </c>
      <c r="J1307" s="16"/>
    </row>
    <row r="1308" spans="1:10" ht="15.75" thickBot="1" x14ac:dyDescent="0.3">
      <c r="A1308" s="8">
        <v>1307</v>
      </c>
      <c r="B1308" s="9" t="s">
        <v>18</v>
      </c>
      <c r="C1308" s="9" t="s">
        <v>1036</v>
      </c>
      <c r="D1308" s="10">
        <v>45047</v>
      </c>
      <c r="E1308" s="21">
        <v>694</v>
      </c>
      <c r="F1308" s="11">
        <v>0</v>
      </c>
      <c r="J1308" s="16"/>
    </row>
    <row r="1309" spans="1:10" ht="15.75" thickBot="1" x14ac:dyDescent="0.3">
      <c r="A1309" s="8">
        <v>1308</v>
      </c>
      <c r="B1309" s="9" t="s">
        <v>20</v>
      </c>
      <c r="C1309" s="9" t="s">
        <v>1037</v>
      </c>
      <c r="D1309" s="10">
        <v>44822</v>
      </c>
      <c r="E1309" s="21">
        <v>513</v>
      </c>
      <c r="F1309" s="11">
        <v>0</v>
      </c>
      <c r="J1309" s="16"/>
    </row>
    <row r="1310" spans="1:10" ht="30.75" thickBot="1" x14ac:dyDescent="0.3">
      <c r="A1310" s="4">
        <v>1309</v>
      </c>
      <c r="B1310" s="5" t="s">
        <v>22</v>
      </c>
      <c r="C1310" s="5" t="s">
        <v>1038</v>
      </c>
      <c r="D1310" s="6">
        <v>44637</v>
      </c>
      <c r="E1310" s="20">
        <v>576</v>
      </c>
      <c r="F1310" s="7">
        <v>0</v>
      </c>
      <c r="J1310" s="16"/>
    </row>
    <row r="1311" spans="1:10" ht="30.75" thickBot="1" x14ac:dyDescent="0.3">
      <c r="A1311" s="4">
        <v>1310</v>
      </c>
      <c r="B1311" s="5" t="s">
        <v>24</v>
      </c>
      <c r="C1311" s="5" t="s">
        <v>1039</v>
      </c>
      <c r="D1311" s="6">
        <v>44562</v>
      </c>
      <c r="E1311" s="20">
        <v>435</v>
      </c>
      <c r="F1311" s="7">
        <v>0</v>
      </c>
      <c r="J1311" s="16"/>
    </row>
    <row r="1312" spans="1:10" ht="30.75" thickBot="1" x14ac:dyDescent="0.3">
      <c r="A1312" s="8">
        <v>1311</v>
      </c>
      <c r="B1312" s="9" t="s">
        <v>6</v>
      </c>
      <c r="C1312" s="9" t="s">
        <v>1040</v>
      </c>
      <c r="D1312" s="10">
        <v>44894</v>
      </c>
      <c r="E1312" s="21">
        <v>919</v>
      </c>
      <c r="F1312" s="11">
        <v>0</v>
      </c>
      <c r="J1312" s="16"/>
    </row>
    <row r="1313" spans="1:10" ht="15.75" thickBot="1" x14ac:dyDescent="0.3">
      <c r="A1313" s="8">
        <v>1312</v>
      </c>
      <c r="B1313" s="9" t="s">
        <v>8</v>
      </c>
      <c r="C1313" s="9" t="s">
        <v>1041</v>
      </c>
      <c r="D1313" s="10">
        <v>44961</v>
      </c>
      <c r="E1313" s="21">
        <v>412</v>
      </c>
      <c r="F1313" s="11">
        <v>0</v>
      </c>
      <c r="J1313" s="16"/>
    </row>
    <row r="1314" spans="1:10" ht="30.75" thickBot="1" x14ac:dyDescent="0.3">
      <c r="A1314" s="4">
        <v>1313</v>
      </c>
      <c r="B1314" s="5" t="s">
        <v>10</v>
      </c>
      <c r="C1314" s="5" t="s">
        <v>1042</v>
      </c>
      <c r="D1314" s="6">
        <v>44890</v>
      </c>
      <c r="E1314" s="20">
        <v>947</v>
      </c>
      <c r="F1314" s="7">
        <v>0</v>
      </c>
      <c r="J1314" s="16"/>
    </row>
    <row r="1315" spans="1:10" ht="30.75" thickBot="1" x14ac:dyDescent="0.3">
      <c r="A1315" s="4">
        <v>1314</v>
      </c>
      <c r="B1315" s="5" t="s">
        <v>12</v>
      </c>
      <c r="C1315" s="5" t="s">
        <v>1043</v>
      </c>
      <c r="D1315" s="6">
        <v>44996</v>
      </c>
      <c r="E1315" s="20">
        <v>529</v>
      </c>
      <c r="F1315" s="7">
        <v>0</v>
      </c>
      <c r="J1315" s="16"/>
    </row>
    <row r="1316" spans="1:10" ht="30.75" thickBot="1" x14ac:dyDescent="0.3">
      <c r="A1316" s="8">
        <v>1315</v>
      </c>
      <c r="B1316" s="9" t="s">
        <v>14</v>
      </c>
      <c r="C1316" s="9" t="s">
        <v>1044</v>
      </c>
      <c r="D1316" s="10">
        <v>44726</v>
      </c>
      <c r="E1316" s="21">
        <v>519</v>
      </c>
      <c r="F1316" s="11">
        <v>0</v>
      </c>
      <c r="J1316" s="16"/>
    </row>
    <row r="1317" spans="1:10" ht="30.75" thickBot="1" x14ac:dyDescent="0.3">
      <c r="A1317" s="8">
        <v>1316</v>
      </c>
      <c r="B1317" s="9" t="s">
        <v>16</v>
      </c>
      <c r="C1317" s="9" t="s">
        <v>1045</v>
      </c>
      <c r="D1317" s="10">
        <v>45047</v>
      </c>
      <c r="E1317" s="21">
        <v>679</v>
      </c>
      <c r="F1317" s="11">
        <v>0</v>
      </c>
      <c r="J1317" s="16"/>
    </row>
    <row r="1318" spans="1:10" ht="15.75" thickBot="1" x14ac:dyDescent="0.3">
      <c r="A1318" s="4">
        <v>1317</v>
      </c>
      <c r="B1318" s="5" t="s">
        <v>18</v>
      </c>
      <c r="C1318" s="5" t="s">
        <v>1046</v>
      </c>
      <c r="D1318" s="6">
        <v>44890</v>
      </c>
      <c r="E1318" s="20">
        <v>475</v>
      </c>
      <c r="F1318" s="7">
        <v>0</v>
      </c>
      <c r="J1318" s="16"/>
    </row>
    <row r="1319" spans="1:10" ht="15.75" thickBot="1" x14ac:dyDescent="0.3">
      <c r="A1319" s="4">
        <v>1318</v>
      </c>
      <c r="B1319" s="5" t="s">
        <v>20</v>
      </c>
      <c r="C1319" s="5" t="s">
        <v>1047</v>
      </c>
      <c r="D1319" s="6">
        <v>44800</v>
      </c>
      <c r="E1319" s="20">
        <v>767</v>
      </c>
      <c r="F1319" s="7">
        <v>0</v>
      </c>
      <c r="J1319" s="16"/>
    </row>
    <row r="1320" spans="1:10" ht="30.75" thickBot="1" x14ac:dyDescent="0.3">
      <c r="A1320" s="8">
        <v>1319</v>
      </c>
      <c r="B1320" s="9" t="s">
        <v>22</v>
      </c>
      <c r="C1320" s="9" t="s">
        <v>1048</v>
      </c>
      <c r="D1320" s="10">
        <v>44903</v>
      </c>
      <c r="E1320" s="21">
        <v>735</v>
      </c>
      <c r="F1320" s="11">
        <v>0</v>
      </c>
      <c r="J1320" s="16"/>
    </row>
    <row r="1321" spans="1:10" ht="30.75" thickBot="1" x14ac:dyDescent="0.3">
      <c r="A1321" s="8">
        <v>1320</v>
      </c>
      <c r="B1321" s="9" t="s">
        <v>24</v>
      </c>
      <c r="C1321" s="9" t="s">
        <v>1049</v>
      </c>
      <c r="D1321" s="10">
        <v>44900</v>
      </c>
      <c r="E1321" s="21">
        <v>799</v>
      </c>
      <c r="F1321" s="11">
        <v>0</v>
      </c>
      <c r="J1321" s="16"/>
    </row>
    <row r="1322" spans="1:10" ht="30.75" thickBot="1" x14ac:dyDescent="0.3">
      <c r="A1322" s="4">
        <v>1321</v>
      </c>
      <c r="B1322" s="5" t="s">
        <v>6</v>
      </c>
      <c r="C1322" s="5" t="s">
        <v>1050</v>
      </c>
      <c r="D1322" s="6">
        <v>44753</v>
      </c>
      <c r="E1322" s="20">
        <v>510</v>
      </c>
      <c r="F1322" s="7">
        <v>0</v>
      </c>
      <c r="J1322" s="16"/>
    </row>
    <row r="1323" spans="1:10" ht="15.75" thickBot="1" x14ac:dyDescent="0.3">
      <c r="A1323" s="4">
        <v>1322</v>
      </c>
      <c r="B1323" s="5" t="s">
        <v>8</v>
      </c>
      <c r="C1323" s="5" t="s">
        <v>1051</v>
      </c>
      <c r="D1323" s="6">
        <v>44793</v>
      </c>
      <c r="E1323" s="20">
        <v>929</v>
      </c>
      <c r="F1323" s="7">
        <v>0</v>
      </c>
      <c r="J1323" s="16"/>
    </row>
    <row r="1324" spans="1:10" ht="30.75" thickBot="1" x14ac:dyDescent="0.3">
      <c r="A1324" s="8">
        <v>1323</v>
      </c>
      <c r="B1324" s="9" t="s">
        <v>10</v>
      </c>
      <c r="C1324" s="9" t="s">
        <v>1052</v>
      </c>
      <c r="D1324" s="10">
        <v>44732</v>
      </c>
      <c r="E1324" s="21">
        <v>430</v>
      </c>
      <c r="F1324" s="11">
        <v>0</v>
      </c>
      <c r="J1324" s="16"/>
    </row>
    <row r="1325" spans="1:10" ht="30.75" thickBot="1" x14ac:dyDescent="0.3">
      <c r="A1325" s="8">
        <v>1324</v>
      </c>
      <c r="B1325" s="9" t="s">
        <v>12</v>
      </c>
      <c r="C1325" s="9" t="s">
        <v>1053</v>
      </c>
      <c r="D1325" s="10">
        <v>44939</v>
      </c>
      <c r="E1325" s="21">
        <v>690</v>
      </c>
      <c r="F1325" s="11">
        <v>0</v>
      </c>
      <c r="J1325" s="16"/>
    </row>
    <row r="1326" spans="1:10" ht="30.75" thickBot="1" x14ac:dyDescent="0.3">
      <c r="A1326" s="4">
        <v>1325</v>
      </c>
      <c r="B1326" s="5" t="s">
        <v>14</v>
      </c>
      <c r="C1326" s="5" t="s">
        <v>1054</v>
      </c>
      <c r="D1326" s="6">
        <v>44891</v>
      </c>
      <c r="E1326" s="20">
        <v>942</v>
      </c>
      <c r="F1326" s="7">
        <v>0</v>
      </c>
      <c r="J1326" s="16"/>
    </row>
    <row r="1327" spans="1:10" ht="30.75" thickBot="1" x14ac:dyDescent="0.3">
      <c r="A1327" s="4">
        <v>1326</v>
      </c>
      <c r="B1327" s="5" t="s">
        <v>16</v>
      </c>
      <c r="C1327" s="5" t="s">
        <v>1055</v>
      </c>
      <c r="D1327" s="6">
        <v>44902</v>
      </c>
      <c r="E1327" s="20">
        <v>856</v>
      </c>
      <c r="F1327" s="7">
        <v>0</v>
      </c>
      <c r="J1327" s="16"/>
    </row>
    <row r="1328" spans="1:10" ht="15.75" thickBot="1" x14ac:dyDescent="0.3">
      <c r="A1328" s="8">
        <v>1327</v>
      </c>
      <c r="B1328" s="9" t="s">
        <v>18</v>
      </c>
      <c r="C1328" s="9" t="s">
        <v>1056</v>
      </c>
      <c r="D1328" s="10">
        <v>44772</v>
      </c>
      <c r="E1328" s="21">
        <v>904</v>
      </c>
      <c r="F1328" s="11">
        <v>0</v>
      </c>
      <c r="J1328" s="16"/>
    </row>
    <row r="1329" spans="1:10" ht="15.75" thickBot="1" x14ac:dyDescent="0.3">
      <c r="A1329" s="8">
        <v>1328</v>
      </c>
      <c r="B1329" s="9" t="s">
        <v>20</v>
      </c>
      <c r="C1329" s="9" t="s">
        <v>1057</v>
      </c>
      <c r="D1329" s="10">
        <v>44983</v>
      </c>
      <c r="E1329" s="21">
        <v>667</v>
      </c>
      <c r="F1329" s="11">
        <v>0</v>
      </c>
      <c r="J1329" s="16"/>
    </row>
    <row r="1330" spans="1:10" ht="30.75" thickBot="1" x14ac:dyDescent="0.3">
      <c r="A1330" s="4">
        <v>1329</v>
      </c>
      <c r="B1330" s="5" t="s">
        <v>22</v>
      </c>
      <c r="C1330" s="5" t="s">
        <v>1058</v>
      </c>
      <c r="D1330" s="6">
        <v>44900</v>
      </c>
      <c r="E1330" s="20">
        <v>805</v>
      </c>
      <c r="F1330" s="7">
        <v>0</v>
      </c>
      <c r="J1330" s="16"/>
    </row>
    <row r="1331" spans="1:10" ht="30.75" thickBot="1" x14ac:dyDescent="0.3">
      <c r="A1331" s="4">
        <v>1330</v>
      </c>
      <c r="B1331" s="5" t="s">
        <v>24</v>
      </c>
      <c r="C1331" s="5" t="s">
        <v>1059</v>
      </c>
      <c r="D1331" s="6">
        <v>44977</v>
      </c>
      <c r="E1331" s="20">
        <v>878</v>
      </c>
      <c r="F1331" s="7">
        <v>0</v>
      </c>
      <c r="J1331" s="16"/>
    </row>
    <row r="1332" spans="1:10" ht="30.75" thickBot="1" x14ac:dyDescent="0.3">
      <c r="A1332" s="8">
        <v>1331</v>
      </c>
      <c r="B1332" s="9" t="s">
        <v>6</v>
      </c>
      <c r="C1332" s="9" t="s">
        <v>1060</v>
      </c>
      <c r="D1332" s="10">
        <v>44762</v>
      </c>
      <c r="E1332" s="21">
        <v>947</v>
      </c>
      <c r="F1332" s="11">
        <v>0</v>
      </c>
      <c r="J1332" s="16"/>
    </row>
    <row r="1333" spans="1:10" ht="15.75" thickBot="1" x14ac:dyDescent="0.3">
      <c r="A1333" s="8">
        <v>1332</v>
      </c>
      <c r="B1333" s="9" t="s">
        <v>8</v>
      </c>
      <c r="C1333" s="9" t="s">
        <v>1061</v>
      </c>
      <c r="D1333" s="10">
        <v>45011</v>
      </c>
      <c r="E1333" s="21">
        <v>501</v>
      </c>
      <c r="F1333" s="11">
        <v>0</v>
      </c>
      <c r="J1333" s="16"/>
    </row>
    <row r="1334" spans="1:10" ht="30.75" thickBot="1" x14ac:dyDescent="0.3">
      <c r="A1334" s="4">
        <v>1333</v>
      </c>
      <c r="B1334" s="5" t="s">
        <v>10</v>
      </c>
      <c r="C1334" s="5" t="s">
        <v>1062</v>
      </c>
      <c r="D1334" s="6">
        <v>45015</v>
      </c>
      <c r="E1334" s="20">
        <v>727</v>
      </c>
      <c r="F1334" s="7">
        <v>0</v>
      </c>
      <c r="J1334" s="16"/>
    </row>
    <row r="1335" spans="1:10" ht="30.75" thickBot="1" x14ac:dyDescent="0.3">
      <c r="A1335" s="4">
        <v>1334</v>
      </c>
      <c r="B1335" s="5" t="s">
        <v>12</v>
      </c>
      <c r="C1335" s="5" t="s">
        <v>1063</v>
      </c>
      <c r="D1335" s="6">
        <v>44816</v>
      </c>
      <c r="E1335" s="20">
        <v>559</v>
      </c>
      <c r="F1335" s="7">
        <v>0</v>
      </c>
      <c r="J1335" s="16"/>
    </row>
    <row r="1336" spans="1:10" ht="30.75" thickBot="1" x14ac:dyDescent="0.3">
      <c r="A1336" s="8">
        <v>1335</v>
      </c>
      <c r="B1336" s="9" t="s">
        <v>14</v>
      </c>
      <c r="C1336" s="9" t="s">
        <v>1064</v>
      </c>
      <c r="D1336" s="10">
        <v>44655</v>
      </c>
      <c r="E1336" s="21">
        <v>451</v>
      </c>
      <c r="F1336" s="11">
        <v>0</v>
      </c>
      <c r="J1336" s="16"/>
    </row>
    <row r="1337" spans="1:10" ht="30.75" thickBot="1" x14ac:dyDescent="0.3">
      <c r="A1337" s="8">
        <v>1336</v>
      </c>
      <c r="B1337" s="9" t="s">
        <v>16</v>
      </c>
      <c r="C1337" s="9" t="s">
        <v>1065</v>
      </c>
      <c r="D1337" s="10">
        <v>44933</v>
      </c>
      <c r="E1337" s="21">
        <v>969</v>
      </c>
      <c r="F1337" s="11">
        <v>0</v>
      </c>
      <c r="J1337" s="16"/>
    </row>
    <row r="1338" spans="1:10" ht="15.75" thickBot="1" x14ac:dyDescent="0.3">
      <c r="A1338" s="4">
        <v>1337</v>
      </c>
      <c r="B1338" s="5" t="s">
        <v>18</v>
      </c>
      <c r="C1338" s="5" t="s">
        <v>1066</v>
      </c>
      <c r="D1338" s="6">
        <v>44963</v>
      </c>
      <c r="E1338" s="20">
        <v>758</v>
      </c>
      <c r="F1338" s="7">
        <v>0</v>
      </c>
      <c r="J1338" s="16"/>
    </row>
    <row r="1339" spans="1:10" ht="15.75" thickBot="1" x14ac:dyDescent="0.3">
      <c r="A1339" s="4">
        <v>1338</v>
      </c>
      <c r="B1339" s="5" t="s">
        <v>20</v>
      </c>
      <c r="C1339" s="5" t="s">
        <v>1067</v>
      </c>
      <c r="D1339" s="6">
        <v>44818</v>
      </c>
      <c r="E1339" s="20">
        <v>590</v>
      </c>
      <c r="F1339" s="7">
        <v>0</v>
      </c>
      <c r="J1339" s="16"/>
    </row>
    <row r="1340" spans="1:10" ht="30.75" thickBot="1" x14ac:dyDescent="0.3">
      <c r="A1340" s="8">
        <v>1339</v>
      </c>
      <c r="B1340" s="9" t="s">
        <v>22</v>
      </c>
      <c r="C1340" s="9" t="s">
        <v>1068</v>
      </c>
      <c r="D1340" s="10">
        <v>44893</v>
      </c>
      <c r="E1340" s="21">
        <v>931</v>
      </c>
      <c r="F1340" s="11">
        <v>0</v>
      </c>
      <c r="J1340" s="16"/>
    </row>
    <row r="1341" spans="1:10" ht="30.75" thickBot="1" x14ac:dyDescent="0.3">
      <c r="A1341" s="8">
        <v>1340</v>
      </c>
      <c r="B1341" s="9" t="s">
        <v>24</v>
      </c>
      <c r="C1341" s="9" t="s">
        <v>1069</v>
      </c>
      <c r="D1341" s="10">
        <v>44728</v>
      </c>
      <c r="E1341" s="21">
        <v>465</v>
      </c>
      <c r="F1341" s="11">
        <v>0</v>
      </c>
      <c r="J1341" s="16"/>
    </row>
    <row r="1342" spans="1:10" ht="30.75" thickBot="1" x14ac:dyDescent="0.3">
      <c r="A1342" s="4">
        <v>1341</v>
      </c>
      <c r="B1342" s="5" t="s">
        <v>6</v>
      </c>
      <c r="C1342" s="5" t="s">
        <v>1070</v>
      </c>
      <c r="D1342" s="6">
        <v>44794</v>
      </c>
      <c r="E1342" s="20">
        <v>883</v>
      </c>
      <c r="F1342" s="7">
        <v>0</v>
      </c>
      <c r="J1342" s="16"/>
    </row>
    <row r="1343" spans="1:10" ht="15.75" thickBot="1" x14ac:dyDescent="0.3">
      <c r="A1343" s="4">
        <v>1342</v>
      </c>
      <c r="B1343" s="5" t="s">
        <v>8</v>
      </c>
      <c r="C1343" s="5" t="s">
        <v>1071</v>
      </c>
      <c r="D1343" s="6">
        <v>44845</v>
      </c>
      <c r="E1343" s="20">
        <v>559</v>
      </c>
      <c r="F1343" s="7">
        <v>0</v>
      </c>
      <c r="J1343" s="16"/>
    </row>
    <row r="1344" spans="1:10" ht="30.75" thickBot="1" x14ac:dyDescent="0.3">
      <c r="A1344" s="8">
        <v>1343</v>
      </c>
      <c r="B1344" s="9" t="s">
        <v>10</v>
      </c>
      <c r="C1344" s="9" t="s">
        <v>1072</v>
      </c>
      <c r="D1344" s="10">
        <v>45012</v>
      </c>
      <c r="E1344" s="21">
        <v>759</v>
      </c>
      <c r="F1344" s="11">
        <v>0</v>
      </c>
      <c r="J1344" s="16"/>
    </row>
    <row r="1345" spans="1:10" ht="30.75" thickBot="1" x14ac:dyDescent="0.3">
      <c r="A1345" s="8">
        <v>1344</v>
      </c>
      <c r="B1345" s="9" t="s">
        <v>12</v>
      </c>
      <c r="C1345" s="9" t="s">
        <v>1073</v>
      </c>
      <c r="D1345" s="10">
        <v>44654</v>
      </c>
      <c r="E1345" s="21">
        <v>662</v>
      </c>
      <c r="F1345" s="11">
        <v>0</v>
      </c>
      <c r="J1345" s="16"/>
    </row>
    <row r="1346" spans="1:10" ht="30.75" thickBot="1" x14ac:dyDescent="0.3">
      <c r="A1346" s="4">
        <v>1345</v>
      </c>
      <c r="B1346" s="5" t="s">
        <v>14</v>
      </c>
      <c r="C1346" s="5" t="s">
        <v>1074</v>
      </c>
      <c r="D1346" s="6">
        <v>44823</v>
      </c>
      <c r="E1346" s="20">
        <v>892</v>
      </c>
      <c r="F1346" s="7">
        <v>0</v>
      </c>
      <c r="J1346" s="16"/>
    </row>
    <row r="1347" spans="1:10" ht="30.75" thickBot="1" x14ac:dyDescent="0.3">
      <c r="A1347" s="4">
        <v>1346</v>
      </c>
      <c r="B1347" s="5" t="s">
        <v>16</v>
      </c>
      <c r="C1347" s="5" t="s">
        <v>1075</v>
      </c>
      <c r="D1347" s="6">
        <v>44931</v>
      </c>
      <c r="E1347" s="20">
        <v>943</v>
      </c>
      <c r="F1347" s="7">
        <v>0</v>
      </c>
      <c r="J1347" s="16"/>
    </row>
    <row r="1348" spans="1:10" ht="15.75" thickBot="1" x14ac:dyDescent="0.3">
      <c r="A1348" s="8">
        <v>1347</v>
      </c>
      <c r="B1348" s="9" t="s">
        <v>18</v>
      </c>
      <c r="C1348" s="9" t="s">
        <v>1076</v>
      </c>
      <c r="D1348" s="10">
        <v>44732</v>
      </c>
      <c r="E1348" s="21">
        <v>484</v>
      </c>
      <c r="F1348" s="11">
        <v>0</v>
      </c>
      <c r="J1348" s="16"/>
    </row>
    <row r="1349" spans="1:10" ht="15.75" thickBot="1" x14ac:dyDescent="0.3">
      <c r="A1349" s="8">
        <v>1348</v>
      </c>
      <c r="B1349" s="9" t="s">
        <v>20</v>
      </c>
      <c r="C1349" s="9" t="s">
        <v>1077</v>
      </c>
      <c r="D1349" s="10">
        <v>44906</v>
      </c>
      <c r="E1349" s="21">
        <v>674</v>
      </c>
      <c r="F1349" s="11">
        <v>0</v>
      </c>
      <c r="J1349" s="16"/>
    </row>
    <row r="1350" spans="1:10" ht="30.75" thickBot="1" x14ac:dyDescent="0.3">
      <c r="A1350" s="4">
        <v>1349</v>
      </c>
      <c r="B1350" s="5" t="s">
        <v>22</v>
      </c>
      <c r="C1350" s="5" t="s">
        <v>1078</v>
      </c>
      <c r="D1350" s="6">
        <v>44797</v>
      </c>
      <c r="E1350" s="20">
        <v>935</v>
      </c>
      <c r="F1350" s="7">
        <v>0</v>
      </c>
      <c r="J1350" s="16"/>
    </row>
    <row r="1351" spans="1:10" ht="30.75" thickBot="1" x14ac:dyDescent="0.3">
      <c r="A1351" s="4">
        <v>1350</v>
      </c>
      <c r="B1351" s="5" t="s">
        <v>24</v>
      </c>
      <c r="C1351" s="5" t="s">
        <v>1079</v>
      </c>
      <c r="D1351" s="6">
        <v>44673</v>
      </c>
      <c r="E1351" s="20">
        <v>708</v>
      </c>
      <c r="F1351" s="7">
        <v>0</v>
      </c>
      <c r="J1351" s="16"/>
    </row>
    <row r="1352" spans="1:10" ht="30.75" thickBot="1" x14ac:dyDescent="0.3">
      <c r="A1352" s="8">
        <v>1351</v>
      </c>
      <c r="B1352" s="9" t="s">
        <v>6</v>
      </c>
      <c r="C1352" s="9" t="s">
        <v>1080</v>
      </c>
      <c r="D1352" s="10">
        <v>44821</v>
      </c>
      <c r="E1352" s="21">
        <v>584</v>
      </c>
      <c r="F1352" s="11">
        <v>0</v>
      </c>
      <c r="J1352" s="16"/>
    </row>
    <row r="1353" spans="1:10" ht="15.75" thickBot="1" x14ac:dyDescent="0.3">
      <c r="A1353" s="8">
        <v>1352</v>
      </c>
      <c r="B1353" s="9" t="s">
        <v>8</v>
      </c>
      <c r="C1353" s="9" t="s">
        <v>1081</v>
      </c>
      <c r="D1353" s="10">
        <v>44735</v>
      </c>
      <c r="E1353" s="21">
        <v>568</v>
      </c>
      <c r="F1353" s="11">
        <v>0</v>
      </c>
      <c r="J1353" s="16"/>
    </row>
    <row r="1354" spans="1:10" ht="30.75" thickBot="1" x14ac:dyDescent="0.3">
      <c r="A1354" s="4">
        <v>1353</v>
      </c>
      <c r="B1354" s="5" t="s">
        <v>10</v>
      </c>
      <c r="C1354" s="5" t="s">
        <v>1082</v>
      </c>
      <c r="D1354" s="6">
        <v>44667</v>
      </c>
      <c r="E1354" s="20">
        <v>629</v>
      </c>
      <c r="F1354" s="7">
        <v>0</v>
      </c>
      <c r="J1354" s="16"/>
    </row>
    <row r="1355" spans="1:10" ht="30.75" thickBot="1" x14ac:dyDescent="0.3">
      <c r="A1355" s="4">
        <v>1354</v>
      </c>
      <c r="B1355" s="5" t="s">
        <v>12</v>
      </c>
      <c r="C1355" s="5" t="s">
        <v>1083</v>
      </c>
      <c r="D1355" s="6">
        <v>45012</v>
      </c>
      <c r="E1355" s="20">
        <v>865</v>
      </c>
      <c r="F1355" s="7">
        <v>0</v>
      </c>
      <c r="J1355" s="16"/>
    </row>
    <row r="1356" spans="1:10" ht="30.75" thickBot="1" x14ac:dyDescent="0.3">
      <c r="A1356" s="8">
        <v>1355</v>
      </c>
      <c r="B1356" s="9" t="s">
        <v>14</v>
      </c>
      <c r="C1356" s="9" t="s">
        <v>1084</v>
      </c>
      <c r="D1356" s="10">
        <v>44986</v>
      </c>
      <c r="E1356" s="21">
        <v>635</v>
      </c>
      <c r="F1356" s="11">
        <v>0</v>
      </c>
      <c r="J1356" s="16"/>
    </row>
    <row r="1357" spans="1:10" ht="30.75" thickBot="1" x14ac:dyDescent="0.3">
      <c r="A1357" s="8">
        <v>1356</v>
      </c>
      <c r="B1357" s="9" t="s">
        <v>16</v>
      </c>
      <c r="C1357" s="9" t="s">
        <v>1085</v>
      </c>
      <c r="D1357" s="10">
        <v>44713</v>
      </c>
      <c r="E1357" s="21">
        <v>789</v>
      </c>
      <c r="F1357" s="11">
        <v>0</v>
      </c>
      <c r="J1357" s="16"/>
    </row>
    <row r="1358" spans="1:10" ht="15.75" thickBot="1" x14ac:dyDescent="0.3">
      <c r="A1358" s="4">
        <v>1357</v>
      </c>
      <c r="B1358" s="5" t="s">
        <v>18</v>
      </c>
      <c r="C1358" s="5" t="s">
        <v>1086</v>
      </c>
      <c r="D1358" s="6">
        <v>44695</v>
      </c>
      <c r="E1358" s="20">
        <v>549</v>
      </c>
      <c r="F1358" s="7">
        <v>0</v>
      </c>
      <c r="J1358" s="16"/>
    </row>
    <row r="1359" spans="1:10" ht="15.75" thickBot="1" x14ac:dyDescent="0.3">
      <c r="A1359" s="4">
        <v>1358</v>
      </c>
      <c r="B1359" s="5" t="s">
        <v>20</v>
      </c>
      <c r="C1359" s="5" t="s">
        <v>1087</v>
      </c>
      <c r="D1359" s="6">
        <v>44868</v>
      </c>
      <c r="E1359" s="20">
        <v>979</v>
      </c>
      <c r="F1359" s="7">
        <v>0</v>
      </c>
      <c r="J1359" s="16"/>
    </row>
    <row r="1360" spans="1:10" ht="30.75" thickBot="1" x14ac:dyDescent="0.3">
      <c r="A1360" s="8">
        <v>1359</v>
      </c>
      <c r="B1360" s="9" t="s">
        <v>22</v>
      </c>
      <c r="C1360" s="9" t="s">
        <v>1088</v>
      </c>
      <c r="D1360" s="10">
        <v>44930</v>
      </c>
      <c r="E1360" s="21">
        <v>431</v>
      </c>
      <c r="F1360" s="11">
        <v>0</v>
      </c>
      <c r="J1360" s="16"/>
    </row>
    <row r="1361" spans="1:10" ht="30.75" thickBot="1" x14ac:dyDescent="0.3">
      <c r="A1361" s="8">
        <v>1360</v>
      </c>
      <c r="B1361" s="9" t="s">
        <v>24</v>
      </c>
      <c r="C1361" s="9" t="s">
        <v>1089</v>
      </c>
      <c r="D1361" s="10">
        <v>44895</v>
      </c>
      <c r="E1361" s="21">
        <v>571</v>
      </c>
      <c r="F1361" s="11">
        <v>0</v>
      </c>
      <c r="J1361" s="16"/>
    </row>
    <row r="1362" spans="1:10" ht="30.75" thickBot="1" x14ac:dyDescent="0.3">
      <c r="A1362" s="4">
        <v>1361</v>
      </c>
      <c r="B1362" s="5" t="s">
        <v>6</v>
      </c>
      <c r="C1362" s="5" t="s">
        <v>1090</v>
      </c>
      <c r="D1362" s="6">
        <v>44825</v>
      </c>
      <c r="E1362" s="20">
        <v>684</v>
      </c>
      <c r="F1362" s="7">
        <v>0</v>
      </c>
      <c r="J1362" s="16"/>
    </row>
    <row r="1363" spans="1:10" ht="15.75" thickBot="1" x14ac:dyDescent="0.3">
      <c r="A1363" s="4">
        <v>1362</v>
      </c>
      <c r="B1363" s="5" t="s">
        <v>8</v>
      </c>
      <c r="C1363" s="5" t="s">
        <v>1091</v>
      </c>
      <c r="D1363" s="6">
        <v>44625</v>
      </c>
      <c r="E1363" s="20">
        <v>632</v>
      </c>
      <c r="F1363" s="7">
        <v>0</v>
      </c>
      <c r="J1363" s="16"/>
    </row>
    <row r="1364" spans="1:10" ht="30.75" thickBot="1" x14ac:dyDescent="0.3">
      <c r="A1364" s="8">
        <v>1363</v>
      </c>
      <c r="B1364" s="9" t="s">
        <v>10</v>
      </c>
      <c r="C1364" s="9" t="s">
        <v>1092</v>
      </c>
      <c r="D1364" s="10">
        <v>44748</v>
      </c>
      <c r="E1364" s="21">
        <v>986</v>
      </c>
      <c r="F1364" s="11">
        <v>0</v>
      </c>
      <c r="J1364" s="16"/>
    </row>
    <row r="1365" spans="1:10" ht="30.75" thickBot="1" x14ac:dyDescent="0.3">
      <c r="A1365" s="8">
        <v>1364</v>
      </c>
      <c r="B1365" s="9" t="s">
        <v>12</v>
      </c>
      <c r="C1365" s="9" t="s">
        <v>1093</v>
      </c>
      <c r="D1365" s="10">
        <v>44905</v>
      </c>
      <c r="E1365" s="21">
        <v>412</v>
      </c>
      <c r="F1365" s="11">
        <v>0</v>
      </c>
      <c r="J1365" s="16"/>
    </row>
    <row r="1366" spans="1:10" ht="30.75" thickBot="1" x14ac:dyDescent="0.3">
      <c r="A1366" s="4">
        <v>1365</v>
      </c>
      <c r="B1366" s="5" t="s">
        <v>14</v>
      </c>
      <c r="C1366" s="5" t="s">
        <v>1094</v>
      </c>
      <c r="D1366" s="6">
        <v>44974</v>
      </c>
      <c r="E1366" s="20">
        <v>485</v>
      </c>
      <c r="F1366" s="7">
        <v>0</v>
      </c>
      <c r="J1366" s="16"/>
    </row>
    <row r="1367" spans="1:10" ht="30.75" thickBot="1" x14ac:dyDescent="0.3">
      <c r="A1367" s="4">
        <v>1366</v>
      </c>
      <c r="B1367" s="5" t="s">
        <v>16</v>
      </c>
      <c r="C1367" s="5" t="s">
        <v>1095</v>
      </c>
      <c r="D1367" s="6">
        <v>44938</v>
      </c>
      <c r="E1367" s="20">
        <v>457</v>
      </c>
      <c r="F1367" s="7">
        <v>0</v>
      </c>
      <c r="J1367" s="16"/>
    </row>
    <row r="1368" spans="1:10" ht="15.75" thickBot="1" x14ac:dyDescent="0.3">
      <c r="A1368" s="8">
        <v>1367</v>
      </c>
      <c r="B1368" s="9" t="s">
        <v>18</v>
      </c>
      <c r="C1368" s="9" t="s">
        <v>1096</v>
      </c>
      <c r="D1368" s="10">
        <v>44733</v>
      </c>
      <c r="E1368" s="21">
        <v>687</v>
      </c>
      <c r="F1368" s="11">
        <v>0</v>
      </c>
      <c r="J1368" s="16"/>
    </row>
    <row r="1369" spans="1:10" ht="15.75" thickBot="1" x14ac:dyDescent="0.3">
      <c r="A1369" s="8">
        <v>1368</v>
      </c>
      <c r="B1369" s="9" t="s">
        <v>20</v>
      </c>
      <c r="C1369" s="9" t="s">
        <v>1097</v>
      </c>
      <c r="D1369" s="10">
        <v>44967</v>
      </c>
      <c r="E1369" s="21">
        <v>608</v>
      </c>
      <c r="F1369" s="11">
        <v>0</v>
      </c>
      <c r="J1369" s="16"/>
    </row>
    <row r="1370" spans="1:10" ht="30.75" thickBot="1" x14ac:dyDescent="0.3">
      <c r="A1370" s="4">
        <v>1369</v>
      </c>
      <c r="B1370" s="5" t="s">
        <v>22</v>
      </c>
      <c r="C1370" s="5" t="s">
        <v>1098</v>
      </c>
      <c r="D1370" s="6">
        <v>44845</v>
      </c>
      <c r="E1370" s="20">
        <v>706</v>
      </c>
      <c r="F1370" s="7">
        <v>0</v>
      </c>
      <c r="J1370" s="16"/>
    </row>
    <row r="1371" spans="1:10" ht="30.75" thickBot="1" x14ac:dyDescent="0.3">
      <c r="A1371" s="4">
        <v>1370</v>
      </c>
      <c r="B1371" s="5" t="s">
        <v>24</v>
      </c>
      <c r="C1371" s="5" t="s">
        <v>1099</v>
      </c>
      <c r="D1371" s="6">
        <v>44715</v>
      </c>
      <c r="E1371" s="20">
        <v>669</v>
      </c>
      <c r="F1371" s="7">
        <v>0</v>
      </c>
      <c r="J1371" s="16"/>
    </row>
    <row r="1372" spans="1:10" ht="30.75" thickBot="1" x14ac:dyDescent="0.3">
      <c r="A1372" s="8">
        <v>1371</v>
      </c>
      <c r="B1372" s="9" t="s">
        <v>6</v>
      </c>
      <c r="C1372" s="9" t="s">
        <v>1100</v>
      </c>
      <c r="D1372" s="10">
        <v>44929</v>
      </c>
      <c r="E1372" s="21">
        <v>807</v>
      </c>
      <c r="F1372" s="11">
        <v>0</v>
      </c>
      <c r="J1372" s="16"/>
    </row>
    <row r="1373" spans="1:10" ht="15.75" thickBot="1" x14ac:dyDescent="0.3">
      <c r="A1373" s="8">
        <v>1372</v>
      </c>
      <c r="B1373" s="9" t="s">
        <v>8</v>
      </c>
      <c r="C1373" s="9" t="s">
        <v>1101</v>
      </c>
      <c r="D1373" s="10">
        <v>44856</v>
      </c>
      <c r="E1373" s="21">
        <v>663</v>
      </c>
      <c r="F1373" s="11">
        <v>0</v>
      </c>
      <c r="J1373" s="16"/>
    </row>
    <row r="1374" spans="1:10" ht="30.75" thickBot="1" x14ac:dyDescent="0.3">
      <c r="A1374" s="4">
        <v>1373</v>
      </c>
      <c r="B1374" s="5" t="s">
        <v>10</v>
      </c>
      <c r="C1374" s="5" t="s">
        <v>1102</v>
      </c>
      <c r="D1374" s="6">
        <v>44690</v>
      </c>
      <c r="E1374" s="20">
        <v>953</v>
      </c>
      <c r="F1374" s="7">
        <v>0</v>
      </c>
      <c r="J1374" s="16"/>
    </row>
    <row r="1375" spans="1:10" ht="30.75" thickBot="1" x14ac:dyDescent="0.3">
      <c r="A1375" s="4">
        <v>1374</v>
      </c>
      <c r="B1375" s="5" t="s">
        <v>12</v>
      </c>
      <c r="C1375" s="5" t="s">
        <v>1103</v>
      </c>
      <c r="D1375" s="6">
        <v>44930</v>
      </c>
      <c r="E1375" s="20">
        <v>607</v>
      </c>
      <c r="F1375" s="7">
        <v>0</v>
      </c>
      <c r="J1375" s="16"/>
    </row>
    <row r="1376" spans="1:10" ht="30.75" thickBot="1" x14ac:dyDescent="0.3">
      <c r="A1376" s="8">
        <v>1375</v>
      </c>
      <c r="B1376" s="9" t="s">
        <v>14</v>
      </c>
      <c r="C1376" s="9" t="s">
        <v>1104</v>
      </c>
      <c r="D1376" s="10">
        <v>44618</v>
      </c>
      <c r="E1376" s="21">
        <v>416</v>
      </c>
      <c r="F1376" s="11">
        <v>0</v>
      </c>
      <c r="J1376" s="16"/>
    </row>
    <row r="1377" spans="1:10" ht="30.75" thickBot="1" x14ac:dyDescent="0.3">
      <c r="A1377" s="8">
        <v>1376</v>
      </c>
      <c r="B1377" s="9" t="s">
        <v>16</v>
      </c>
      <c r="C1377" s="9" t="s">
        <v>1105</v>
      </c>
      <c r="D1377" s="10">
        <v>44798</v>
      </c>
      <c r="E1377" s="21">
        <v>864</v>
      </c>
      <c r="F1377" s="11">
        <v>0</v>
      </c>
      <c r="J1377" s="16"/>
    </row>
    <row r="1378" spans="1:10" ht="15.75" thickBot="1" x14ac:dyDescent="0.3">
      <c r="A1378" s="4">
        <v>1377</v>
      </c>
      <c r="B1378" s="5" t="s">
        <v>18</v>
      </c>
      <c r="C1378" s="5" t="s">
        <v>1106</v>
      </c>
      <c r="D1378" s="6">
        <v>44664</v>
      </c>
      <c r="E1378" s="20">
        <v>674</v>
      </c>
      <c r="F1378" s="7">
        <v>0</v>
      </c>
      <c r="J1378" s="16"/>
    </row>
    <row r="1379" spans="1:10" ht="15.75" thickBot="1" x14ac:dyDescent="0.3">
      <c r="A1379" s="4">
        <v>1378</v>
      </c>
      <c r="B1379" s="5" t="s">
        <v>20</v>
      </c>
      <c r="C1379" s="5" t="s">
        <v>1107</v>
      </c>
      <c r="D1379" s="6">
        <v>44811</v>
      </c>
      <c r="E1379" s="20">
        <v>543</v>
      </c>
      <c r="F1379" s="7">
        <v>0</v>
      </c>
      <c r="J1379" s="16"/>
    </row>
    <row r="1380" spans="1:10" ht="30.75" thickBot="1" x14ac:dyDescent="0.3">
      <c r="A1380" s="8">
        <v>1379</v>
      </c>
      <c r="B1380" s="9" t="s">
        <v>22</v>
      </c>
      <c r="C1380" s="9" t="s">
        <v>1108</v>
      </c>
      <c r="D1380" s="10">
        <v>44772</v>
      </c>
      <c r="E1380" s="21">
        <v>702</v>
      </c>
      <c r="F1380" s="11">
        <v>0</v>
      </c>
      <c r="J1380" s="16"/>
    </row>
    <row r="1381" spans="1:10" ht="30.75" thickBot="1" x14ac:dyDescent="0.3">
      <c r="A1381" s="8">
        <v>1380</v>
      </c>
      <c r="B1381" s="9" t="s">
        <v>24</v>
      </c>
      <c r="C1381" s="9" t="s">
        <v>1109</v>
      </c>
      <c r="D1381" s="10">
        <v>44939</v>
      </c>
      <c r="E1381" s="21">
        <v>701</v>
      </c>
      <c r="F1381" s="11">
        <v>0</v>
      </c>
      <c r="J1381" s="16"/>
    </row>
    <row r="1382" spans="1:10" ht="30.75" thickBot="1" x14ac:dyDescent="0.3">
      <c r="A1382" s="4">
        <v>1381</v>
      </c>
      <c r="B1382" s="5" t="s">
        <v>6</v>
      </c>
      <c r="C1382" s="5" t="s">
        <v>1110</v>
      </c>
      <c r="D1382" s="6">
        <v>44960</v>
      </c>
      <c r="E1382" s="20">
        <v>741</v>
      </c>
      <c r="F1382" s="7">
        <v>0</v>
      </c>
      <c r="J1382" s="16"/>
    </row>
    <row r="1383" spans="1:10" ht="15.75" thickBot="1" x14ac:dyDescent="0.3">
      <c r="A1383" s="4">
        <v>1382</v>
      </c>
      <c r="B1383" s="5" t="s">
        <v>8</v>
      </c>
      <c r="C1383" s="5" t="s">
        <v>1111</v>
      </c>
      <c r="D1383" s="6">
        <v>44649</v>
      </c>
      <c r="E1383" s="20">
        <v>606</v>
      </c>
      <c r="F1383" s="7">
        <v>0</v>
      </c>
      <c r="J1383" s="16"/>
    </row>
    <row r="1384" spans="1:10" ht="30.75" thickBot="1" x14ac:dyDescent="0.3">
      <c r="A1384" s="8">
        <v>1383</v>
      </c>
      <c r="B1384" s="9" t="s">
        <v>10</v>
      </c>
      <c r="C1384" s="9" t="s">
        <v>1112</v>
      </c>
      <c r="D1384" s="10">
        <v>44751</v>
      </c>
      <c r="E1384" s="21">
        <v>572</v>
      </c>
      <c r="F1384" s="11">
        <v>0</v>
      </c>
      <c r="J1384" s="16"/>
    </row>
    <row r="1385" spans="1:10" ht="30.75" thickBot="1" x14ac:dyDescent="0.3">
      <c r="A1385" s="8">
        <v>1384</v>
      </c>
      <c r="B1385" s="9" t="s">
        <v>12</v>
      </c>
      <c r="C1385" s="9" t="s">
        <v>1113</v>
      </c>
      <c r="D1385" s="10">
        <v>44672</v>
      </c>
      <c r="E1385" s="21">
        <v>667</v>
      </c>
      <c r="F1385" s="11">
        <v>0</v>
      </c>
      <c r="J1385" s="16"/>
    </row>
    <row r="1386" spans="1:10" ht="30.75" thickBot="1" x14ac:dyDescent="0.3">
      <c r="A1386" s="4">
        <v>1385</v>
      </c>
      <c r="B1386" s="5" t="s">
        <v>14</v>
      </c>
      <c r="C1386" s="5" t="s">
        <v>1114</v>
      </c>
      <c r="D1386" s="6">
        <v>44645</v>
      </c>
      <c r="E1386" s="20">
        <v>505</v>
      </c>
      <c r="F1386" s="7">
        <v>0</v>
      </c>
      <c r="J1386" s="16"/>
    </row>
    <row r="1387" spans="1:10" ht="30.75" thickBot="1" x14ac:dyDescent="0.3">
      <c r="A1387" s="4">
        <v>1386</v>
      </c>
      <c r="B1387" s="5" t="s">
        <v>16</v>
      </c>
      <c r="C1387" s="5" t="s">
        <v>1115</v>
      </c>
      <c r="D1387" s="6">
        <v>44726</v>
      </c>
      <c r="E1387" s="20">
        <v>418</v>
      </c>
      <c r="F1387" s="7">
        <v>0</v>
      </c>
      <c r="J1387" s="16"/>
    </row>
    <row r="1388" spans="1:10" ht="15.75" thickBot="1" x14ac:dyDescent="0.3">
      <c r="A1388" s="8">
        <v>1387</v>
      </c>
      <c r="B1388" s="9" t="s">
        <v>18</v>
      </c>
      <c r="C1388" s="9" t="s">
        <v>1116</v>
      </c>
      <c r="D1388" s="10">
        <v>44987</v>
      </c>
      <c r="E1388" s="21">
        <v>931</v>
      </c>
      <c r="F1388" s="11">
        <v>0</v>
      </c>
      <c r="J1388" s="16"/>
    </row>
    <row r="1389" spans="1:10" ht="15.75" thickBot="1" x14ac:dyDescent="0.3">
      <c r="A1389" s="8">
        <v>1388</v>
      </c>
      <c r="B1389" s="9" t="s">
        <v>20</v>
      </c>
      <c r="C1389" s="9" t="s">
        <v>1117</v>
      </c>
      <c r="D1389" s="10">
        <v>44743</v>
      </c>
      <c r="E1389" s="21">
        <v>694</v>
      </c>
      <c r="F1389" s="11">
        <v>0</v>
      </c>
      <c r="J1389" s="16"/>
    </row>
    <row r="1390" spans="1:10" ht="30.75" thickBot="1" x14ac:dyDescent="0.3">
      <c r="A1390" s="4">
        <v>1389</v>
      </c>
      <c r="B1390" s="5" t="s">
        <v>22</v>
      </c>
      <c r="C1390" s="5" t="s">
        <v>1118</v>
      </c>
      <c r="D1390" s="6">
        <v>44916</v>
      </c>
      <c r="E1390" s="20">
        <v>508</v>
      </c>
      <c r="F1390" s="7">
        <v>0</v>
      </c>
      <c r="J1390" s="16"/>
    </row>
    <row r="1391" spans="1:10" ht="30.75" thickBot="1" x14ac:dyDescent="0.3">
      <c r="A1391" s="4">
        <v>1390</v>
      </c>
      <c r="B1391" s="5" t="s">
        <v>24</v>
      </c>
      <c r="C1391" s="5" t="s">
        <v>1119</v>
      </c>
      <c r="D1391" s="6">
        <v>44839</v>
      </c>
      <c r="E1391" s="20">
        <v>707</v>
      </c>
      <c r="F1391" s="7">
        <v>0</v>
      </c>
      <c r="J1391" s="16"/>
    </row>
    <row r="1392" spans="1:10" ht="30.75" thickBot="1" x14ac:dyDescent="0.3">
      <c r="A1392" s="8">
        <v>1391</v>
      </c>
      <c r="B1392" s="9" t="s">
        <v>6</v>
      </c>
      <c r="C1392" s="9" t="s">
        <v>1120</v>
      </c>
      <c r="D1392" s="10">
        <v>44834</v>
      </c>
      <c r="E1392" s="21">
        <v>551</v>
      </c>
      <c r="F1392" s="11">
        <v>0</v>
      </c>
      <c r="J1392" s="16"/>
    </row>
    <row r="1393" spans="1:10" ht="15.75" thickBot="1" x14ac:dyDescent="0.3">
      <c r="A1393" s="8">
        <v>1392</v>
      </c>
      <c r="B1393" s="9" t="s">
        <v>8</v>
      </c>
      <c r="C1393" s="9" t="s">
        <v>1121</v>
      </c>
      <c r="D1393" s="10">
        <v>44777</v>
      </c>
      <c r="E1393" s="21">
        <v>431</v>
      </c>
      <c r="F1393" s="11">
        <v>0</v>
      </c>
      <c r="J1393" s="16"/>
    </row>
    <row r="1394" spans="1:10" ht="30.75" thickBot="1" x14ac:dyDescent="0.3">
      <c r="A1394" s="4">
        <v>1393</v>
      </c>
      <c r="B1394" s="5" t="s">
        <v>10</v>
      </c>
      <c r="C1394" s="5" t="s">
        <v>1122</v>
      </c>
      <c r="D1394" s="6">
        <v>44952</v>
      </c>
      <c r="E1394" s="20">
        <v>982</v>
      </c>
      <c r="F1394" s="7">
        <v>0</v>
      </c>
      <c r="J1394" s="16"/>
    </row>
    <row r="1395" spans="1:10" ht="30.75" thickBot="1" x14ac:dyDescent="0.3">
      <c r="A1395" s="4">
        <v>1394</v>
      </c>
      <c r="B1395" s="5" t="s">
        <v>12</v>
      </c>
      <c r="C1395" s="5" t="s">
        <v>1123</v>
      </c>
      <c r="D1395" s="6">
        <v>44783</v>
      </c>
      <c r="E1395" s="20">
        <v>726</v>
      </c>
      <c r="F1395" s="7">
        <v>0</v>
      </c>
      <c r="J1395" s="16"/>
    </row>
    <row r="1396" spans="1:10" ht="30.75" thickBot="1" x14ac:dyDescent="0.3">
      <c r="A1396" s="8">
        <v>1395</v>
      </c>
      <c r="B1396" s="9" t="s">
        <v>14</v>
      </c>
      <c r="C1396" s="9" t="s">
        <v>1124</v>
      </c>
      <c r="D1396" s="10">
        <v>44797</v>
      </c>
      <c r="E1396" s="21">
        <v>734</v>
      </c>
      <c r="F1396" s="11">
        <v>0</v>
      </c>
      <c r="J1396" s="16"/>
    </row>
    <row r="1397" spans="1:10" ht="30.75" thickBot="1" x14ac:dyDescent="0.3">
      <c r="A1397" s="8">
        <v>1396</v>
      </c>
      <c r="B1397" s="9" t="s">
        <v>16</v>
      </c>
      <c r="C1397" s="9" t="s">
        <v>1125</v>
      </c>
      <c r="D1397" s="10">
        <v>44598</v>
      </c>
      <c r="E1397" s="21">
        <v>573</v>
      </c>
      <c r="F1397" s="11">
        <v>0</v>
      </c>
      <c r="J1397" s="16"/>
    </row>
    <row r="1398" spans="1:10" ht="15.75" thickBot="1" x14ac:dyDescent="0.3">
      <c r="A1398" s="4">
        <v>1397</v>
      </c>
      <c r="B1398" s="5" t="s">
        <v>18</v>
      </c>
      <c r="C1398" s="5" t="s">
        <v>1126</v>
      </c>
      <c r="D1398" s="6">
        <v>44922</v>
      </c>
      <c r="E1398" s="20">
        <v>434</v>
      </c>
      <c r="F1398" s="7">
        <v>0</v>
      </c>
      <c r="J1398" s="16"/>
    </row>
    <row r="1399" spans="1:10" ht="15.75" thickBot="1" x14ac:dyDescent="0.3">
      <c r="A1399" s="4">
        <v>1398</v>
      </c>
      <c r="B1399" s="5" t="s">
        <v>20</v>
      </c>
      <c r="C1399" s="5" t="s">
        <v>1127</v>
      </c>
      <c r="D1399" s="6">
        <v>44890</v>
      </c>
      <c r="E1399" s="20">
        <v>970</v>
      </c>
      <c r="F1399" s="7">
        <v>0</v>
      </c>
      <c r="J1399" s="16"/>
    </row>
    <row r="1400" spans="1:10" ht="30.75" thickBot="1" x14ac:dyDescent="0.3">
      <c r="A1400" s="8">
        <v>1399</v>
      </c>
      <c r="B1400" s="9" t="s">
        <v>22</v>
      </c>
      <c r="C1400" s="9" t="s">
        <v>1128</v>
      </c>
      <c r="D1400" s="10">
        <v>44674</v>
      </c>
      <c r="E1400" s="21">
        <v>909</v>
      </c>
      <c r="F1400" s="11">
        <v>0</v>
      </c>
      <c r="J1400" s="16"/>
    </row>
    <row r="1401" spans="1:10" ht="30.75" thickBot="1" x14ac:dyDescent="0.3">
      <c r="A1401" s="8">
        <v>1400</v>
      </c>
      <c r="B1401" s="9" t="s">
        <v>24</v>
      </c>
      <c r="C1401" s="9" t="s">
        <v>1129</v>
      </c>
      <c r="D1401" s="10">
        <v>44922</v>
      </c>
      <c r="E1401" s="21">
        <v>950</v>
      </c>
      <c r="F1401" s="11">
        <v>0</v>
      </c>
      <c r="J1401" s="16"/>
    </row>
    <row r="1402" spans="1:10" ht="30.75" thickBot="1" x14ac:dyDescent="0.3">
      <c r="A1402" s="4">
        <v>1401</v>
      </c>
      <c r="B1402" s="5" t="s">
        <v>6</v>
      </c>
      <c r="C1402" s="5" t="s">
        <v>1130</v>
      </c>
      <c r="D1402" s="6">
        <v>44771</v>
      </c>
      <c r="E1402" s="20">
        <v>893</v>
      </c>
      <c r="F1402" s="7">
        <v>0</v>
      </c>
      <c r="J1402" s="16"/>
    </row>
    <row r="1403" spans="1:10" ht="15.75" thickBot="1" x14ac:dyDescent="0.3">
      <c r="A1403" s="4">
        <v>1402</v>
      </c>
      <c r="B1403" s="5" t="s">
        <v>8</v>
      </c>
      <c r="C1403" s="5" t="s">
        <v>1131</v>
      </c>
      <c r="D1403" s="6">
        <v>44585</v>
      </c>
      <c r="E1403" s="20">
        <v>611</v>
      </c>
      <c r="F1403" s="7">
        <v>0</v>
      </c>
      <c r="J1403" s="16"/>
    </row>
    <row r="1404" spans="1:10" ht="30.75" thickBot="1" x14ac:dyDescent="0.3">
      <c r="A1404" s="8">
        <v>1403</v>
      </c>
      <c r="B1404" s="9" t="s">
        <v>10</v>
      </c>
      <c r="C1404" s="9" t="s">
        <v>1132</v>
      </c>
      <c r="D1404" s="10">
        <v>45017</v>
      </c>
      <c r="E1404" s="21">
        <v>511</v>
      </c>
      <c r="F1404" s="11">
        <v>0</v>
      </c>
      <c r="J1404" s="16"/>
    </row>
    <row r="1405" spans="1:10" ht="30.75" thickBot="1" x14ac:dyDescent="0.3">
      <c r="A1405" s="8">
        <v>1404</v>
      </c>
      <c r="B1405" s="9" t="s">
        <v>12</v>
      </c>
      <c r="C1405" s="9" t="s">
        <v>1133</v>
      </c>
      <c r="D1405" s="10">
        <v>44752</v>
      </c>
      <c r="E1405" s="21">
        <v>439</v>
      </c>
      <c r="F1405" s="11">
        <v>0</v>
      </c>
      <c r="J1405" s="16"/>
    </row>
    <row r="1406" spans="1:10" ht="30.75" thickBot="1" x14ac:dyDescent="0.3">
      <c r="A1406" s="4">
        <v>1405</v>
      </c>
      <c r="B1406" s="5" t="s">
        <v>14</v>
      </c>
      <c r="C1406" s="5" t="s">
        <v>1134</v>
      </c>
      <c r="D1406" s="6">
        <v>44792</v>
      </c>
      <c r="E1406" s="20">
        <v>724</v>
      </c>
      <c r="F1406" s="7">
        <v>0</v>
      </c>
      <c r="J1406" s="16"/>
    </row>
    <row r="1407" spans="1:10" ht="30.75" thickBot="1" x14ac:dyDescent="0.3">
      <c r="A1407" s="4">
        <v>1406</v>
      </c>
      <c r="B1407" s="5" t="s">
        <v>16</v>
      </c>
      <c r="C1407" s="5" t="s">
        <v>1135</v>
      </c>
      <c r="D1407" s="6">
        <v>44660</v>
      </c>
      <c r="E1407" s="20">
        <v>845</v>
      </c>
      <c r="F1407" s="7">
        <v>0</v>
      </c>
      <c r="J1407" s="16"/>
    </row>
    <row r="1408" spans="1:10" ht="15.75" thickBot="1" x14ac:dyDescent="0.3">
      <c r="A1408" s="8">
        <v>1407</v>
      </c>
      <c r="B1408" s="9" t="s">
        <v>18</v>
      </c>
      <c r="C1408" s="9" t="s">
        <v>1136</v>
      </c>
      <c r="D1408" s="10">
        <v>45047</v>
      </c>
      <c r="E1408" s="21">
        <v>707</v>
      </c>
      <c r="F1408" s="11">
        <v>0</v>
      </c>
      <c r="J1408" s="16"/>
    </row>
    <row r="1409" spans="1:10" ht="15.75" thickBot="1" x14ac:dyDescent="0.3">
      <c r="A1409" s="8">
        <v>1408</v>
      </c>
      <c r="B1409" s="9" t="s">
        <v>20</v>
      </c>
      <c r="C1409" s="9" t="s">
        <v>1137</v>
      </c>
      <c r="D1409" s="10">
        <v>44822</v>
      </c>
      <c r="E1409" s="21">
        <v>628</v>
      </c>
      <c r="F1409" s="11">
        <v>0</v>
      </c>
      <c r="J1409" s="16"/>
    </row>
    <row r="1410" spans="1:10" ht="30.75" thickBot="1" x14ac:dyDescent="0.3">
      <c r="A1410" s="4">
        <v>1409</v>
      </c>
      <c r="B1410" s="5" t="s">
        <v>22</v>
      </c>
      <c r="C1410" s="5" t="s">
        <v>1138</v>
      </c>
      <c r="D1410" s="6">
        <v>44637</v>
      </c>
      <c r="E1410" s="20">
        <v>678</v>
      </c>
      <c r="F1410" s="7">
        <v>0</v>
      </c>
      <c r="J1410" s="16"/>
    </row>
    <row r="1411" spans="1:10" ht="30.75" thickBot="1" x14ac:dyDescent="0.3">
      <c r="A1411" s="4">
        <v>1410</v>
      </c>
      <c r="B1411" s="5" t="s">
        <v>24</v>
      </c>
      <c r="C1411" s="5" t="s">
        <v>1139</v>
      </c>
      <c r="D1411" s="6">
        <v>44562</v>
      </c>
      <c r="E1411" s="20">
        <v>493</v>
      </c>
      <c r="F1411" s="7">
        <v>0</v>
      </c>
      <c r="J1411" s="16"/>
    </row>
    <row r="1412" spans="1:10" ht="30.75" thickBot="1" x14ac:dyDescent="0.3">
      <c r="A1412" s="8">
        <v>1411</v>
      </c>
      <c r="B1412" s="9" t="s">
        <v>6</v>
      </c>
      <c r="C1412" s="9" t="s">
        <v>1140</v>
      </c>
      <c r="D1412" s="10">
        <v>44894</v>
      </c>
      <c r="E1412" s="21">
        <v>555</v>
      </c>
      <c r="F1412" s="11">
        <v>0</v>
      </c>
      <c r="J1412" s="16"/>
    </row>
    <row r="1413" spans="1:10" ht="15.75" thickBot="1" x14ac:dyDescent="0.3">
      <c r="A1413" s="8">
        <v>1412</v>
      </c>
      <c r="B1413" s="9" t="s">
        <v>8</v>
      </c>
      <c r="C1413" s="9" t="s">
        <v>1141</v>
      </c>
      <c r="D1413" s="10">
        <v>44961</v>
      </c>
      <c r="E1413" s="21">
        <v>906</v>
      </c>
      <c r="F1413" s="11">
        <v>0</v>
      </c>
      <c r="J1413" s="16"/>
    </row>
    <row r="1414" spans="1:10" ht="30.75" thickBot="1" x14ac:dyDescent="0.3">
      <c r="A1414" s="4">
        <v>1413</v>
      </c>
      <c r="B1414" s="5" t="s">
        <v>10</v>
      </c>
      <c r="C1414" s="5" t="s">
        <v>1142</v>
      </c>
      <c r="D1414" s="6">
        <v>44890</v>
      </c>
      <c r="E1414" s="20">
        <v>529</v>
      </c>
      <c r="F1414" s="7">
        <v>0</v>
      </c>
      <c r="J1414" s="16"/>
    </row>
    <row r="1415" spans="1:10" ht="30.75" thickBot="1" x14ac:dyDescent="0.3">
      <c r="A1415" s="4">
        <v>1414</v>
      </c>
      <c r="B1415" s="5" t="s">
        <v>12</v>
      </c>
      <c r="C1415" s="5" t="s">
        <v>1143</v>
      </c>
      <c r="D1415" s="6">
        <v>44996</v>
      </c>
      <c r="E1415" s="20">
        <v>976</v>
      </c>
      <c r="F1415" s="7">
        <v>0</v>
      </c>
      <c r="J1415" s="16"/>
    </row>
    <row r="1416" spans="1:10" ht="30.75" thickBot="1" x14ac:dyDescent="0.3">
      <c r="A1416" s="8">
        <v>1415</v>
      </c>
      <c r="B1416" s="9" t="s">
        <v>14</v>
      </c>
      <c r="C1416" s="9" t="s">
        <v>1144</v>
      </c>
      <c r="D1416" s="10">
        <v>44726</v>
      </c>
      <c r="E1416" s="21">
        <v>748</v>
      </c>
      <c r="F1416" s="11">
        <v>0</v>
      </c>
      <c r="J1416" s="16"/>
    </row>
    <row r="1417" spans="1:10" ht="30.75" thickBot="1" x14ac:dyDescent="0.3">
      <c r="A1417" s="8">
        <v>1416</v>
      </c>
      <c r="B1417" s="9" t="s">
        <v>16</v>
      </c>
      <c r="C1417" s="9" t="s">
        <v>1145</v>
      </c>
      <c r="D1417" s="10">
        <v>45047</v>
      </c>
      <c r="E1417" s="21">
        <v>579</v>
      </c>
      <c r="F1417" s="11">
        <v>0</v>
      </c>
      <c r="J1417" s="16"/>
    </row>
    <row r="1418" spans="1:10" ht="15.75" thickBot="1" x14ac:dyDescent="0.3">
      <c r="A1418" s="4">
        <v>1417</v>
      </c>
      <c r="B1418" s="5" t="s">
        <v>18</v>
      </c>
      <c r="C1418" s="5" t="s">
        <v>1146</v>
      </c>
      <c r="D1418" s="6">
        <v>44890</v>
      </c>
      <c r="E1418" s="20">
        <v>468</v>
      </c>
      <c r="F1418" s="7">
        <v>0</v>
      </c>
      <c r="J1418" s="16"/>
    </row>
    <row r="1419" spans="1:10" ht="15.75" thickBot="1" x14ac:dyDescent="0.3">
      <c r="A1419" s="4">
        <v>1418</v>
      </c>
      <c r="B1419" s="5" t="s">
        <v>20</v>
      </c>
      <c r="C1419" s="5" t="s">
        <v>1147</v>
      </c>
      <c r="D1419" s="6">
        <v>44800</v>
      </c>
      <c r="E1419" s="20">
        <v>693</v>
      </c>
      <c r="F1419" s="7">
        <v>0</v>
      </c>
      <c r="J1419" s="16"/>
    </row>
    <row r="1420" spans="1:10" ht="30.75" thickBot="1" x14ac:dyDescent="0.3">
      <c r="A1420" s="8">
        <v>1419</v>
      </c>
      <c r="B1420" s="9" t="s">
        <v>22</v>
      </c>
      <c r="C1420" s="9" t="s">
        <v>1148</v>
      </c>
      <c r="D1420" s="10">
        <v>44903</v>
      </c>
      <c r="E1420" s="21">
        <v>524</v>
      </c>
      <c r="F1420" s="11">
        <v>0</v>
      </c>
      <c r="J1420" s="16"/>
    </row>
    <row r="1421" spans="1:10" ht="30.75" thickBot="1" x14ac:dyDescent="0.3">
      <c r="A1421" s="8">
        <v>1420</v>
      </c>
      <c r="B1421" s="9" t="s">
        <v>24</v>
      </c>
      <c r="C1421" s="9" t="s">
        <v>1149</v>
      </c>
      <c r="D1421" s="10">
        <v>44900</v>
      </c>
      <c r="E1421" s="21">
        <v>448</v>
      </c>
      <c r="F1421" s="11">
        <v>0</v>
      </c>
      <c r="J1421" s="16"/>
    </row>
    <row r="1422" spans="1:10" ht="30.75" thickBot="1" x14ac:dyDescent="0.3">
      <c r="A1422" s="4">
        <v>1421</v>
      </c>
      <c r="B1422" s="5" t="s">
        <v>6</v>
      </c>
      <c r="C1422" s="5" t="s">
        <v>1150</v>
      </c>
      <c r="D1422" s="6">
        <v>44753</v>
      </c>
      <c r="E1422" s="20">
        <v>602</v>
      </c>
      <c r="F1422" s="7">
        <v>0</v>
      </c>
      <c r="J1422" s="16"/>
    </row>
    <row r="1423" spans="1:10" ht="15.75" thickBot="1" x14ac:dyDescent="0.3">
      <c r="A1423" s="4">
        <v>1422</v>
      </c>
      <c r="B1423" s="5" t="s">
        <v>8</v>
      </c>
      <c r="C1423" s="5" t="s">
        <v>1151</v>
      </c>
      <c r="D1423" s="6">
        <v>44793</v>
      </c>
      <c r="E1423" s="20">
        <v>612</v>
      </c>
      <c r="F1423" s="7">
        <v>0</v>
      </c>
      <c r="J1423" s="16"/>
    </row>
    <row r="1424" spans="1:10" ht="30.75" thickBot="1" x14ac:dyDescent="0.3">
      <c r="A1424" s="8">
        <v>1423</v>
      </c>
      <c r="B1424" s="9" t="s">
        <v>10</v>
      </c>
      <c r="C1424" s="9" t="s">
        <v>1152</v>
      </c>
      <c r="D1424" s="10">
        <v>44732</v>
      </c>
      <c r="E1424" s="21">
        <v>541</v>
      </c>
      <c r="F1424" s="11">
        <v>0</v>
      </c>
      <c r="J1424" s="16"/>
    </row>
    <row r="1425" spans="1:10" ht="30.75" thickBot="1" x14ac:dyDescent="0.3">
      <c r="A1425" s="8">
        <v>1424</v>
      </c>
      <c r="B1425" s="9" t="s">
        <v>12</v>
      </c>
      <c r="C1425" s="9" t="s">
        <v>1153</v>
      </c>
      <c r="D1425" s="10">
        <v>44939</v>
      </c>
      <c r="E1425" s="21">
        <v>593</v>
      </c>
      <c r="F1425" s="11">
        <v>0</v>
      </c>
      <c r="J1425" s="16"/>
    </row>
    <row r="1426" spans="1:10" ht="30.75" thickBot="1" x14ac:dyDescent="0.3">
      <c r="A1426" s="4">
        <v>1425</v>
      </c>
      <c r="B1426" s="5" t="s">
        <v>14</v>
      </c>
      <c r="C1426" s="5" t="s">
        <v>1154</v>
      </c>
      <c r="D1426" s="6">
        <v>44891</v>
      </c>
      <c r="E1426" s="20">
        <v>714</v>
      </c>
      <c r="F1426" s="7">
        <v>0</v>
      </c>
      <c r="J1426" s="16"/>
    </row>
    <row r="1427" spans="1:10" ht="30.75" thickBot="1" x14ac:dyDescent="0.3">
      <c r="A1427" s="4">
        <v>1426</v>
      </c>
      <c r="B1427" s="5" t="s">
        <v>16</v>
      </c>
      <c r="C1427" s="5" t="s">
        <v>1155</v>
      </c>
      <c r="D1427" s="6">
        <v>44902</v>
      </c>
      <c r="E1427" s="20">
        <v>525</v>
      </c>
      <c r="F1427" s="7">
        <v>0</v>
      </c>
      <c r="J1427" s="16"/>
    </row>
    <row r="1428" spans="1:10" ht="15.75" thickBot="1" x14ac:dyDescent="0.3">
      <c r="A1428" s="8">
        <v>1427</v>
      </c>
      <c r="B1428" s="9" t="s">
        <v>18</v>
      </c>
      <c r="C1428" s="9" t="s">
        <v>1156</v>
      </c>
      <c r="D1428" s="10">
        <v>44772</v>
      </c>
      <c r="E1428" s="21">
        <v>765</v>
      </c>
      <c r="F1428" s="11">
        <v>0</v>
      </c>
      <c r="J1428" s="16"/>
    </row>
    <row r="1429" spans="1:10" ht="15.75" thickBot="1" x14ac:dyDescent="0.3">
      <c r="A1429" s="8">
        <v>1428</v>
      </c>
      <c r="B1429" s="9" t="s">
        <v>20</v>
      </c>
      <c r="C1429" s="9" t="s">
        <v>1157</v>
      </c>
      <c r="D1429" s="10">
        <v>44983</v>
      </c>
      <c r="E1429" s="21">
        <v>895</v>
      </c>
      <c r="F1429" s="11">
        <v>0</v>
      </c>
      <c r="J1429" s="16"/>
    </row>
    <row r="1430" spans="1:10" ht="30.75" thickBot="1" x14ac:dyDescent="0.3">
      <c r="A1430" s="4">
        <v>1429</v>
      </c>
      <c r="B1430" s="5" t="s">
        <v>22</v>
      </c>
      <c r="C1430" s="5" t="s">
        <v>1158</v>
      </c>
      <c r="D1430" s="6">
        <v>44900</v>
      </c>
      <c r="E1430" s="20">
        <v>517</v>
      </c>
      <c r="F1430" s="7">
        <v>0</v>
      </c>
      <c r="J1430" s="16"/>
    </row>
    <row r="1431" spans="1:10" ht="30.75" thickBot="1" x14ac:dyDescent="0.3">
      <c r="A1431" s="4">
        <v>1430</v>
      </c>
      <c r="B1431" s="5" t="s">
        <v>24</v>
      </c>
      <c r="C1431" s="5" t="s">
        <v>1159</v>
      </c>
      <c r="D1431" s="6">
        <v>44977</v>
      </c>
      <c r="E1431" s="20">
        <v>901</v>
      </c>
      <c r="F1431" s="7">
        <v>0</v>
      </c>
      <c r="J1431" s="16"/>
    </row>
    <row r="1432" spans="1:10" ht="30.75" thickBot="1" x14ac:dyDescent="0.3">
      <c r="A1432" s="8">
        <v>1431</v>
      </c>
      <c r="B1432" s="9" t="s">
        <v>6</v>
      </c>
      <c r="C1432" s="9" t="s">
        <v>1160</v>
      </c>
      <c r="D1432" s="10">
        <v>44762</v>
      </c>
      <c r="E1432" s="21">
        <v>498</v>
      </c>
      <c r="F1432" s="11">
        <v>0</v>
      </c>
      <c r="J1432" s="16"/>
    </row>
    <row r="1433" spans="1:10" ht="15.75" thickBot="1" x14ac:dyDescent="0.3">
      <c r="A1433" s="8">
        <v>1432</v>
      </c>
      <c r="B1433" s="9" t="s">
        <v>8</v>
      </c>
      <c r="C1433" s="9" t="s">
        <v>1161</v>
      </c>
      <c r="D1433" s="10">
        <v>45011</v>
      </c>
      <c r="E1433" s="21">
        <v>484</v>
      </c>
      <c r="F1433" s="11">
        <v>0</v>
      </c>
      <c r="J1433" s="16"/>
    </row>
    <row r="1434" spans="1:10" ht="30.75" thickBot="1" x14ac:dyDescent="0.3">
      <c r="A1434" s="4">
        <v>1433</v>
      </c>
      <c r="B1434" s="5" t="s">
        <v>10</v>
      </c>
      <c r="C1434" s="5" t="s">
        <v>1162</v>
      </c>
      <c r="D1434" s="6">
        <v>45015</v>
      </c>
      <c r="E1434" s="20">
        <v>459</v>
      </c>
      <c r="F1434" s="7">
        <v>0</v>
      </c>
      <c r="J1434" s="16"/>
    </row>
    <row r="1435" spans="1:10" ht="30.75" thickBot="1" x14ac:dyDescent="0.3">
      <c r="A1435" s="4">
        <v>1434</v>
      </c>
      <c r="B1435" s="5" t="s">
        <v>12</v>
      </c>
      <c r="C1435" s="5" t="s">
        <v>1163</v>
      </c>
      <c r="D1435" s="6">
        <v>44816</v>
      </c>
      <c r="E1435" s="20">
        <v>558</v>
      </c>
      <c r="F1435" s="7">
        <v>0</v>
      </c>
      <c r="J1435" s="16"/>
    </row>
    <row r="1436" spans="1:10" ht="30.75" thickBot="1" x14ac:dyDescent="0.3">
      <c r="A1436" s="8">
        <v>1435</v>
      </c>
      <c r="B1436" s="9" t="s">
        <v>14</v>
      </c>
      <c r="C1436" s="9" t="s">
        <v>1164</v>
      </c>
      <c r="D1436" s="10">
        <v>44655</v>
      </c>
      <c r="E1436" s="21">
        <v>475</v>
      </c>
      <c r="F1436" s="11">
        <v>0</v>
      </c>
      <c r="J1436" s="16"/>
    </row>
    <row r="1437" spans="1:10" ht="30.75" thickBot="1" x14ac:dyDescent="0.3">
      <c r="A1437" s="8">
        <v>1436</v>
      </c>
      <c r="B1437" s="9" t="s">
        <v>16</v>
      </c>
      <c r="C1437" s="9" t="s">
        <v>1165</v>
      </c>
      <c r="D1437" s="10">
        <v>44933</v>
      </c>
      <c r="E1437" s="21">
        <v>948</v>
      </c>
      <c r="F1437" s="11">
        <v>0</v>
      </c>
      <c r="J1437" s="16"/>
    </row>
    <row r="1438" spans="1:10" ht="15.75" thickBot="1" x14ac:dyDescent="0.3">
      <c r="A1438" s="4">
        <v>1437</v>
      </c>
      <c r="B1438" s="5" t="s">
        <v>18</v>
      </c>
      <c r="C1438" s="5" t="s">
        <v>1166</v>
      </c>
      <c r="D1438" s="6">
        <v>44963</v>
      </c>
      <c r="E1438" s="20">
        <v>495</v>
      </c>
      <c r="F1438" s="7">
        <v>0</v>
      </c>
      <c r="J1438" s="16"/>
    </row>
    <row r="1439" spans="1:10" ht="15.75" thickBot="1" x14ac:dyDescent="0.3">
      <c r="A1439" s="4">
        <v>1438</v>
      </c>
      <c r="B1439" s="5" t="s">
        <v>20</v>
      </c>
      <c r="C1439" s="5" t="s">
        <v>1167</v>
      </c>
      <c r="D1439" s="6">
        <v>44818</v>
      </c>
      <c r="E1439" s="20">
        <v>876</v>
      </c>
      <c r="F1439" s="7">
        <v>0</v>
      </c>
      <c r="J1439" s="16"/>
    </row>
    <row r="1440" spans="1:10" ht="30.75" thickBot="1" x14ac:dyDescent="0.3">
      <c r="A1440" s="8">
        <v>1439</v>
      </c>
      <c r="B1440" s="9" t="s">
        <v>22</v>
      </c>
      <c r="C1440" s="9" t="s">
        <v>1168</v>
      </c>
      <c r="D1440" s="10">
        <v>44893</v>
      </c>
      <c r="E1440" s="21">
        <v>710</v>
      </c>
      <c r="F1440" s="11">
        <v>0</v>
      </c>
      <c r="J1440" s="16"/>
    </row>
    <row r="1441" spans="1:10" ht="30.75" thickBot="1" x14ac:dyDescent="0.3">
      <c r="A1441" s="8">
        <v>1440</v>
      </c>
      <c r="B1441" s="9" t="s">
        <v>24</v>
      </c>
      <c r="C1441" s="9" t="s">
        <v>1169</v>
      </c>
      <c r="D1441" s="10">
        <v>44728</v>
      </c>
      <c r="E1441" s="21">
        <v>592</v>
      </c>
      <c r="F1441" s="11">
        <v>0</v>
      </c>
      <c r="J1441" s="16"/>
    </row>
    <row r="1442" spans="1:10" ht="30.75" thickBot="1" x14ac:dyDescent="0.3">
      <c r="A1442" s="4">
        <v>1441</v>
      </c>
      <c r="B1442" s="5" t="s">
        <v>6</v>
      </c>
      <c r="C1442" s="5" t="s">
        <v>1170</v>
      </c>
      <c r="D1442" s="6">
        <v>44794</v>
      </c>
      <c r="E1442" s="20">
        <v>433</v>
      </c>
      <c r="F1442" s="7">
        <v>0</v>
      </c>
      <c r="J1442" s="16"/>
    </row>
    <row r="1443" spans="1:10" ht="15.75" thickBot="1" x14ac:dyDescent="0.3">
      <c r="A1443" s="4">
        <v>1442</v>
      </c>
      <c r="B1443" s="5" t="s">
        <v>8</v>
      </c>
      <c r="C1443" s="5" t="s">
        <v>1171</v>
      </c>
      <c r="D1443" s="6">
        <v>44845</v>
      </c>
      <c r="E1443" s="20">
        <v>966</v>
      </c>
      <c r="F1443" s="7">
        <v>0</v>
      </c>
      <c r="J1443" s="16"/>
    </row>
    <row r="1444" spans="1:10" ht="30.75" thickBot="1" x14ac:dyDescent="0.3">
      <c r="A1444" s="8">
        <v>1443</v>
      </c>
      <c r="B1444" s="9" t="s">
        <v>10</v>
      </c>
      <c r="C1444" s="9" t="s">
        <v>1172</v>
      </c>
      <c r="D1444" s="10">
        <v>45012</v>
      </c>
      <c r="E1444" s="21">
        <v>536</v>
      </c>
      <c r="F1444" s="11">
        <v>0</v>
      </c>
      <c r="J1444" s="16"/>
    </row>
    <row r="1445" spans="1:10" ht="30.75" thickBot="1" x14ac:dyDescent="0.3">
      <c r="A1445" s="8">
        <v>1444</v>
      </c>
      <c r="B1445" s="9" t="s">
        <v>12</v>
      </c>
      <c r="C1445" s="9" t="s">
        <v>1173</v>
      </c>
      <c r="D1445" s="10">
        <v>44654</v>
      </c>
      <c r="E1445" s="21">
        <v>988</v>
      </c>
      <c r="F1445" s="11">
        <v>0</v>
      </c>
      <c r="J1445" s="16"/>
    </row>
    <row r="1446" spans="1:10" ht="30.75" thickBot="1" x14ac:dyDescent="0.3">
      <c r="A1446" s="4">
        <v>1445</v>
      </c>
      <c r="B1446" s="5" t="s">
        <v>14</v>
      </c>
      <c r="C1446" s="5" t="s">
        <v>1174</v>
      </c>
      <c r="D1446" s="6">
        <v>44823</v>
      </c>
      <c r="E1446" s="20">
        <v>593</v>
      </c>
      <c r="F1446" s="7">
        <v>0</v>
      </c>
      <c r="J1446" s="16"/>
    </row>
    <row r="1447" spans="1:10" ht="30.75" thickBot="1" x14ac:dyDescent="0.3">
      <c r="A1447" s="4">
        <v>1446</v>
      </c>
      <c r="B1447" s="5" t="s">
        <v>16</v>
      </c>
      <c r="C1447" s="5" t="s">
        <v>1175</v>
      </c>
      <c r="D1447" s="6">
        <v>44931</v>
      </c>
      <c r="E1447" s="20">
        <v>734</v>
      </c>
      <c r="F1447" s="7">
        <v>0</v>
      </c>
      <c r="J1447" s="16"/>
    </row>
    <row r="1448" spans="1:10" ht="15.75" thickBot="1" x14ac:dyDescent="0.3">
      <c r="A1448" s="8">
        <v>1447</v>
      </c>
      <c r="B1448" s="9" t="s">
        <v>18</v>
      </c>
      <c r="C1448" s="9" t="s">
        <v>1176</v>
      </c>
      <c r="D1448" s="10">
        <v>44732</v>
      </c>
      <c r="E1448" s="21">
        <v>510</v>
      </c>
      <c r="F1448" s="11">
        <v>0</v>
      </c>
      <c r="J1448" s="16"/>
    </row>
    <row r="1449" spans="1:10" ht="15.75" thickBot="1" x14ac:dyDescent="0.3">
      <c r="A1449" s="8">
        <v>1448</v>
      </c>
      <c r="B1449" s="9" t="s">
        <v>20</v>
      </c>
      <c r="C1449" s="9" t="s">
        <v>1177</v>
      </c>
      <c r="D1449" s="10">
        <v>44906</v>
      </c>
      <c r="E1449" s="21">
        <v>962</v>
      </c>
      <c r="F1449" s="11">
        <v>0</v>
      </c>
      <c r="J1449" s="16"/>
    </row>
    <row r="1450" spans="1:10" ht="30.75" thickBot="1" x14ac:dyDescent="0.3">
      <c r="A1450" s="4">
        <v>1449</v>
      </c>
      <c r="B1450" s="5" t="s">
        <v>22</v>
      </c>
      <c r="C1450" s="5" t="s">
        <v>1178</v>
      </c>
      <c r="D1450" s="6">
        <v>44797</v>
      </c>
      <c r="E1450" s="20">
        <v>699</v>
      </c>
      <c r="F1450" s="7">
        <v>0</v>
      </c>
      <c r="J1450" s="16"/>
    </row>
    <row r="1451" spans="1:10" ht="30.75" thickBot="1" x14ac:dyDescent="0.3">
      <c r="A1451" s="4">
        <v>1450</v>
      </c>
      <c r="B1451" s="5" t="s">
        <v>24</v>
      </c>
      <c r="C1451" s="5" t="s">
        <v>1179</v>
      </c>
      <c r="D1451" s="6">
        <v>44673</v>
      </c>
      <c r="E1451" s="20">
        <v>427</v>
      </c>
      <c r="F1451" s="7">
        <v>0</v>
      </c>
      <c r="J1451" s="16"/>
    </row>
    <row r="1452" spans="1:10" ht="30.75" thickBot="1" x14ac:dyDescent="0.3">
      <c r="A1452" s="8">
        <v>1451</v>
      </c>
      <c r="B1452" s="9" t="s">
        <v>6</v>
      </c>
      <c r="C1452" s="9" t="s">
        <v>1180</v>
      </c>
      <c r="D1452" s="10">
        <v>44821</v>
      </c>
      <c r="E1452" s="21">
        <v>496</v>
      </c>
      <c r="F1452" s="11">
        <v>0</v>
      </c>
      <c r="J1452" s="16"/>
    </row>
    <row r="1453" spans="1:10" ht="15.75" thickBot="1" x14ac:dyDescent="0.3">
      <c r="A1453" s="8">
        <v>1452</v>
      </c>
      <c r="B1453" s="9" t="s">
        <v>8</v>
      </c>
      <c r="C1453" s="9" t="s">
        <v>1181</v>
      </c>
      <c r="D1453" s="10">
        <v>44735</v>
      </c>
      <c r="E1453" s="21">
        <v>818</v>
      </c>
      <c r="F1453" s="11">
        <v>0</v>
      </c>
      <c r="J1453" s="16"/>
    </row>
    <row r="1454" spans="1:10" ht="30.75" thickBot="1" x14ac:dyDescent="0.3">
      <c r="A1454" s="4">
        <v>1453</v>
      </c>
      <c r="B1454" s="5" t="s">
        <v>10</v>
      </c>
      <c r="C1454" s="5" t="s">
        <v>1182</v>
      </c>
      <c r="D1454" s="6">
        <v>44667</v>
      </c>
      <c r="E1454" s="20">
        <v>619</v>
      </c>
      <c r="F1454" s="7">
        <v>0</v>
      </c>
      <c r="J1454" s="16"/>
    </row>
    <row r="1455" spans="1:10" ht="30.75" thickBot="1" x14ac:dyDescent="0.3">
      <c r="A1455" s="4">
        <v>1454</v>
      </c>
      <c r="B1455" s="5" t="s">
        <v>12</v>
      </c>
      <c r="C1455" s="5" t="s">
        <v>1183</v>
      </c>
      <c r="D1455" s="6">
        <v>45012</v>
      </c>
      <c r="E1455" s="20">
        <v>711</v>
      </c>
      <c r="F1455" s="7">
        <v>0</v>
      </c>
      <c r="J1455" s="16"/>
    </row>
    <row r="1456" spans="1:10" ht="30.75" thickBot="1" x14ac:dyDescent="0.3">
      <c r="A1456" s="8">
        <v>1455</v>
      </c>
      <c r="B1456" s="9" t="s">
        <v>14</v>
      </c>
      <c r="C1456" s="9" t="s">
        <v>1184</v>
      </c>
      <c r="D1456" s="10">
        <v>44986</v>
      </c>
      <c r="E1456" s="21">
        <v>528</v>
      </c>
      <c r="F1456" s="11">
        <v>0</v>
      </c>
      <c r="J1456" s="16"/>
    </row>
    <row r="1457" spans="1:10" ht="30.75" thickBot="1" x14ac:dyDescent="0.3">
      <c r="A1457" s="8">
        <v>1456</v>
      </c>
      <c r="B1457" s="9" t="s">
        <v>16</v>
      </c>
      <c r="C1457" s="9" t="s">
        <v>1185</v>
      </c>
      <c r="D1457" s="10">
        <v>44713</v>
      </c>
      <c r="E1457" s="21">
        <v>772</v>
      </c>
      <c r="F1457" s="11">
        <v>0</v>
      </c>
      <c r="J1457" s="16"/>
    </row>
    <row r="1458" spans="1:10" ht="15.75" thickBot="1" x14ac:dyDescent="0.3">
      <c r="A1458" s="4">
        <v>1457</v>
      </c>
      <c r="B1458" s="5" t="s">
        <v>18</v>
      </c>
      <c r="C1458" s="5" t="s">
        <v>1186</v>
      </c>
      <c r="D1458" s="6">
        <v>44695</v>
      </c>
      <c r="E1458" s="20">
        <v>914</v>
      </c>
      <c r="F1458" s="7">
        <v>0</v>
      </c>
      <c r="J1458" s="16"/>
    </row>
    <row r="1459" spans="1:10" ht="15.75" thickBot="1" x14ac:dyDescent="0.3">
      <c r="A1459" s="4">
        <v>1458</v>
      </c>
      <c r="B1459" s="5" t="s">
        <v>20</v>
      </c>
      <c r="C1459" s="5" t="s">
        <v>1187</v>
      </c>
      <c r="D1459" s="6">
        <v>44868</v>
      </c>
      <c r="E1459" s="20">
        <v>796</v>
      </c>
      <c r="F1459" s="7">
        <v>0</v>
      </c>
      <c r="J1459" s="16"/>
    </row>
    <row r="1460" spans="1:10" ht="30.75" thickBot="1" x14ac:dyDescent="0.3">
      <c r="A1460" s="8">
        <v>1459</v>
      </c>
      <c r="B1460" s="9" t="s">
        <v>22</v>
      </c>
      <c r="C1460" s="9" t="s">
        <v>1188</v>
      </c>
      <c r="D1460" s="10">
        <v>44930</v>
      </c>
      <c r="E1460" s="21">
        <v>770</v>
      </c>
      <c r="F1460" s="11">
        <v>0</v>
      </c>
      <c r="J1460" s="16"/>
    </row>
    <row r="1461" spans="1:10" ht="30.75" thickBot="1" x14ac:dyDescent="0.3">
      <c r="A1461" s="8">
        <v>1460</v>
      </c>
      <c r="B1461" s="9" t="s">
        <v>24</v>
      </c>
      <c r="C1461" s="9" t="s">
        <v>1189</v>
      </c>
      <c r="D1461" s="10">
        <v>44895</v>
      </c>
      <c r="E1461" s="21">
        <v>985</v>
      </c>
      <c r="F1461" s="11">
        <v>0</v>
      </c>
      <c r="J1461" s="16"/>
    </row>
    <row r="1462" spans="1:10" ht="30.75" thickBot="1" x14ac:dyDescent="0.3">
      <c r="A1462" s="4">
        <v>1461</v>
      </c>
      <c r="B1462" s="5" t="s">
        <v>6</v>
      </c>
      <c r="C1462" s="5" t="s">
        <v>1190</v>
      </c>
      <c r="D1462" s="6">
        <v>44825</v>
      </c>
      <c r="E1462" s="20">
        <v>513</v>
      </c>
      <c r="F1462" s="7">
        <v>0</v>
      </c>
      <c r="J1462" s="16"/>
    </row>
    <row r="1463" spans="1:10" ht="15.75" thickBot="1" x14ac:dyDescent="0.3">
      <c r="A1463" s="4">
        <v>1462</v>
      </c>
      <c r="B1463" s="5" t="s">
        <v>8</v>
      </c>
      <c r="C1463" s="5" t="s">
        <v>1191</v>
      </c>
      <c r="D1463" s="6">
        <v>44625</v>
      </c>
      <c r="E1463" s="20">
        <v>918</v>
      </c>
      <c r="F1463" s="7">
        <v>0</v>
      </c>
      <c r="J1463" s="16"/>
    </row>
    <row r="1464" spans="1:10" ht="30.75" thickBot="1" x14ac:dyDescent="0.3">
      <c r="A1464" s="8">
        <v>1463</v>
      </c>
      <c r="B1464" s="9" t="s">
        <v>10</v>
      </c>
      <c r="C1464" s="9" t="s">
        <v>1192</v>
      </c>
      <c r="D1464" s="10">
        <v>44748</v>
      </c>
      <c r="E1464" s="21">
        <v>914</v>
      </c>
      <c r="F1464" s="11">
        <v>0</v>
      </c>
      <c r="J1464" s="16"/>
    </row>
    <row r="1465" spans="1:10" ht="30.75" thickBot="1" x14ac:dyDescent="0.3">
      <c r="A1465" s="8">
        <v>1464</v>
      </c>
      <c r="B1465" s="9" t="s">
        <v>12</v>
      </c>
      <c r="C1465" s="9" t="s">
        <v>1193</v>
      </c>
      <c r="D1465" s="10">
        <v>44905</v>
      </c>
      <c r="E1465" s="21">
        <v>927</v>
      </c>
      <c r="F1465" s="11">
        <v>0</v>
      </c>
      <c r="J1465" s="16"/>
    </row>
    <row r="1466" spans="1:10" ht="30.75" thickBot="1" x14ac:dyDescent="0.3">
      <c r="A1466" s="4">
        <v>1465</v>
      </c>
      <c r="B1466" s="5" t="s">
        <v>14</v>
      </c>
      <c r="C1466" s="5" t="s">
        <v>1194</v>
      </c>
      <c r="D1466" s="6">
        <v>44974</v>
      </c>
      <c r="E1466" s="20">
        <v>453</v>
      </c>
      <c r="F1466" s="7">
        <v>0</v>
      </c>
      <c r="J1466" s="16"/>
    </row>
    <row r="1467" spans="1:10" ht="30.75" thickBot="1" x14ac:dyDescent="0.3">
      <c r="A1467" s="4">
        <v>1466</v>
      </c>
      <c r="B1467" s="5" t="s">
        <v>16</v>
      </c>
      <c r="C1467" s="5" t="s">
        <v>1195</v>
      </c>
      <c r="D1467" s="6">
        <v>44938</v>
      </c>
      <c r="E1467" s="20">
        <v>963</v>
      </c>
      <c r="F1467" s="7">
        <v>0</v>
      </c>
      <c r="J1467" s="16"/>
    </row>
    <row r="1468" spans="1:10" ht="15.75" thickBot="1" x14ac:dyDescent="0.3">
      <c r="A1468" s="8">
        <v>1467</v>
      </c>
      <c r="B1468" s="9" t="s">
        <v>18</v>
      </c>
      <c r="C1468" s="9" t="s">
        <v>1196</v>
      </c>
      <c r="D1468" s="10">
        <v>44733</v>
      </c>
      <c r="E1468" s="21">
        <v>425</v>
      </c>
      <c r="F1468" s="11">
        <v>0</v>
      </c>
      <c r="J1468" s="16"/>
    </row>
    <row r="1469" spans="1:10" ht="15.75" thickBot="1" x14ac:dyDescent="0.3">
      <c r="A1469" s="8">
        <v>1468</v>
      </c>
      <c r="B1469" s="9" t="s">
        <v>20</v>
      </c>
      <c r="C1469" s="9" t="s">
        <v>1197</v>
      </c>
      <c r="D1469" s="10">
        <v>44967</v>
      </c>
      <c r="E1469" s="21">
        <v>703</v>
      </c>
      <c r="F1469" s="11">
        <v>0</v>
      </c>
      <c r="J1469" s="16"/>
    </row>
    <row r="1470" spans="1:10" ht="30.75" thickBot="1" x14ac:dyDescent="0.3">
      <c r="A1470" s="4">
        <v>1469</v>
      </c>
      <c r="B1470" s="5" t="s">
        <v>22</v>
      </c>
      <c r="C1470" s="5" t="s">
        <v>1198</v>
      </c>
      <c r="D1470" s="6">
        <v>44845</v>
      </c>
      <c r="E1470" s="20">
        <v>884</v>
      </c>
      <c r="F1470" s="7">
        <v>0</v>
      </c>
      <c r="J1470" s="16"/>
    </row>
    <row r="1471" spans="1:10" ht="30.75" thickBot="1" x14ac:dyDescent="0.3">
      <c r="A1471" s="4">
        <v>1470</v>
      </c>
      <c r="B1471" s="5" t="s">
        <v>24</v>
      </c>
      <c r="C1471" s="5" t="s">
        <v>1199</v>
      </c>
      <c r="D1471" s="6">
        <v>44715</v>
      </c>
      <c r="E1471" s="20">
        <v>610</v>
      </c>
      <c r="F1471" s="7">
        <v>0</v>
      </c>
      <c r="J1471" s="16"/>
    </row>
    <row r="1472" spans="1:10" ht="30.75" thickBot="1" x14ac:dyDescent="0.3">
      <c r="A1472" s="8">
        <v>1471</v>
      </c>
      <c r="B1472" s="9" t="s">
        <v>6</v>
      </c>
      <c r="C1472" s="9" t="s">
        <v>1200</v>
      </c>
      <c r="D1472" s="10">
        <v>44929</v>
      </c>
      <c r="E1472" s="21">
        <v>879</v>
      </c>
      <c r="F1472" s="11">
        <v>0</v>
      </c>
      <c r="J1472" s="16"/>
    </row>
    <row r="1473" spans="1:10" ht="15.75" thickBot="1" x14ac:dyDescent="0.3">
      <c r="A1473" s="8">
        <v>1472</v>
      </c>
      <c r="B1473" s="9" t="s">
        <v>8</v>
      </c>
      <c r="C1473" s="9" t="s">
        <v>1201</v>
      </c>
      <c r="D1473" s="10">
        <v>44856</v>
      </c>
      <c r="E1473" s="21">
        <v>636</v>
      </c>
      <c r="F1473" s="11">
        <v>0</v>
      </c>
      <c r="J1473" s="16"/>
    </row>
    <row r="1474" spans="1:10" ht="30.75" thickBot="1" x14ac:dyDescent="0.3">
      <c r="A1474" s="4">
        <v>1473</v>
      </c>
      <c r="B1474" s="5" t="s">
        <v>10</v>
      </c>
      <c r="C1474" s="5" t="s">
        <v>1202</v>
      </c>
      <c r="D1474" s="6">
        <v>44690</v>
      </c>
      <c r="E1474" s="20">
        <v>876</v>
      </c>
      <c r="F1474" s="7">
        <v>0</v>
      </c>
      <c r="J1474" s="16"/>
    </row>
    <row r="1475" spans="1:10" ht="30.75" thickBot="1" x14ac:dyDescent="0.3">
      <c r="A1475" s="4">
        <v>1474</v>
      </c>
      <c r="B1475" s="5" t="s">
        <v>12</v>
      </c>
      <c r="C1475" s="5" t="s">
        <v>1203</v>
      </c>
      <c r="D1475" s="6">
        <v>44930</v>
      </c>
      <c r="E1475" s="20">
        <v>937</v>
      </c>
      <c r="F1475" s="7">
        <v>0</v>
      </c>
      <c r="J1475" s="16"/>
    </row>
    <row r="1476" spans="1:10" ht="30.75" thickBot="1" x14ac:dyDescent="0.3">
      <c r="A1476" s="8">
        <v>1475</v>
      </c>
      <c r="B1476" s="9" t="s">
        <v>14</v>
      </c>
      <c r="C1476" s="9" t="s">
        <v>1204</v>
      </c>
      <c r="D1476" s="10">
        <v>44618</v>
      </c>
      <c r="E1476" s="21">
        <v>639</v>
      </c>
      <c r="F1476" s="11">
        <v>0</v>
      </c>
      <c r="J1476" s="16"/>
    </row>
    <row r="1477" spans="1:10" ht="30.75" thickBot="1" x14ac:dyDescent="0.3">
      <c r="A1477" s="8">
        <v>1476</v>
      </c>
      <c r="B1477" s="9" t="s">
        <v>16</v>
      </c>
      <c r="C1477" s="9" t="s">
        <v>1205</v>
      </c>
      <c r="D1477" s="10">
        <v>44798</v>
      </c>
      <c r="E1477" s="21">
        <v>655</v>
      </c>
      <c r="F1477" s="11">
        <v>0</v>
      </c>
      <c r="J1477" s="16"/>
    </row>
    <row r="1478" spans="1:10" ht="15.75" thickBot="1" x14ac:dyDescent="0.3">
      <c r="A1478" s="4">
        <v>1477</v>
      </c>
      <c r="B1478" s="5" t="s">
        <v>18</v>
      </c>
      <c r="C1478" s="5" t="s">
        <v>1206</v>
      </c>
      <c r="D1478" s="6">
        <v>44664</v>
      </c>
      <c r="E1478" s="20">
        <v>589</v>
      </c>
      <c r="F1478" s="7">
        <v>0</v>
      </c>
      <c r="J1478" s="16"/>
    </row>
    <row r="1479" spans="1:10" ht="15.75" thickBot="1" x14ac:dyDescent="0.3">
      <c r="A1479" s="4">
        <v>1478</v>
      </c>
      <c r="B1479" s="5" t="s">
        <v>20</v>
      </c>
      <c r="C1479" s="5" t="s">
        <v>1207</v>
      </c>
      <c r="D1479" s="6">
        <v>44811</v>
      </c>
      <c r="E1479" s="20">
        <v>955</v>
      </c>
      <c r="F1479" s="7">
        <v>0</v>
      </c>
      <c r="J1479" s="16"/>
    </row>
    <row r="1480" spans="1:10" ht="30.75" thickBot="1" x14ac:dyDescent="0.3">
      <c r="A1480" s="8">
        <v>1479</v>
      </c>
      <c r="B1480" s="9" t="s">
        <v>22</v>
      </c>
      <c r="C1480" s="9" t="s">
        <v>1208</v>
      </c>
      <c r="D1480" s="10">
        <v>44772</v>
      </c>
      <c r="E1480" s="21">
        <v>570</v>
      </c>
      <c r="F1480" s="11">
        <v>0</v>
      </c>
      <c r="J1480" s="16"/>
    </row>
    <row r="1481" spans="1:10" ht="30.75" thickBot="1" x14ac:dyDescent="0.3">
      <c r="A1481" s="8">
        <v>1480</v>
      </c>
      <c r="B1481" s="9" t="s">
        <v>24</v>
      </c>
      <c r="C1481" s="9" t="s">
        <v>1209</v>
      </c>
      <c r="D1481" s="10">
        <v>44939</v>
      </c>
      <c r="E1481" s="21">
        <v>956</v>
      </c>
      <c r="F1481" s="11">
        <v>0</v>
      </c>
      <c r="J1481" s="16"/>
    </row>
    <row r="1482" spans="1:10" ht="30.75" thickBot="1" x14ac:dyDescent="0.3">
      <c r="A1482" s="4">
        <v>1481</v>
      </c>
      <c r="B1482" s="5" t="s">
        <v>6</v>
      </c>
      <c r="C1482" s="5" t="s">
        <v>1210</v>
      </c>
      <c r="D1482" s="6">
        <v>44960</v>
      </c>
      <c r="E1482" s="20">
        <v>573</v>
      </c>
      <c r="F1482" s="7">
        <v>0</v>
      </c>
      <c r="J1482" s="16"/>
    </row>
    <row r="1483" spans="1:10" ht="15.75" thickBot="1" x14ac:dyDescent="0.3">
      <c r="A1483" s="4">
        <v>1482</v>
      </c>
      <c r="B1483" s="5" t="s">
        <v>8</v>
      </c>
      <c r="C1483" s="5" t="s">
        <v>1211</v>
      </c>
      <c r="D1483" s="6">
        <v>44649</v>
      </c>
      <c r="E1483" s="20">
        <v>964</v>
      </c>
      <c r="F1483" s="7">
        <v>0</v>
      </c>
      <c r="J1483" s="16"/>
    </row>
    <row r="1484" spans="1:10" ht="30.75" thickBot="1" x14ac:dyDescent="0.3">
      <c r="A1484" s="8">
        <v>1483</v>
      </c>
      <c r="B1484" s="9" t="s">
        <v>10</v>
      </c>
      <c r="C1484" s="9" t="s">
        <v>1212</v>
      </c>
      <c r="D1484" s="10">
        <v>44751</v>
      </c>
      <c r="E1484" s="21">
        <v>934</v>
      </c>
      <c r="F1484" s="11">
        <v>0</v>
      </c>
      <c r="J1484" s="16"/>
    </row>
    <row r="1485" spans="1:10" ht="30.75" thickBot="1" x14ac:dyDescent="0.3">
      <c r="A1485" s="8">
        <v>1484</v>
      </c>
      <c r="B1485" s="9" t="s">
        <v>12</v>
      </c>
      <c r="C1485" s="9" t="s">
        <v>1213</v>
      </c>
      <c r="D1485" s="10">
        <v>44672</v>
      </c>
      <c r="E1485" s="21">
        <v>700</v>
      </c>
      <c r="F1485" s="11">
        <v>0</v>
      </c>
      <c r="J1485" s="16"/>
    </row>
    <row r="1486" spans="1:10" ht="30.75" thickBot="1" x14ac:dyDescent="0.3">
      <c r="A1486" s="4">
        <v>1485</v>
      </c>
      <c r="B1486" s="5" t="s">
        <v>14</v>
      </c>
      <c r="C1486" s="5" t="s">
        <v>1214</v>
      </c>
      <c r="D1486" s="6">
        <v>44645</v>
      </c>
      <c r="E1486" s="20">
        <v>684</v>
      </c>
      <c r="F1486" s="7">
        <v>0</v>
      </c>
      <c r="J1486" s="16"/>
    </row>
    <row r="1487" spans="1:10" ht="30.75" thickBot="1" x14ac:dyDescent="0.3">
      <c r="A1487" s="4">
        <v>1486</v>
      </c>
      <c r="B1487" s="5" t="s">
        <v>16</v>
      </c>
      <c r="C1487" s="5" t="s">
        <v>1215</v>
      </c>
      <c r="D1487" s="6">
        <v>44726</v>
      </c>
      <c r="E1487" s="20">
        <v>883</v>
      </c>
      <c r="F1487" s="7">
        <v>0</v>
      </c>
      <c r="J1487" s="16"/>
    </row>
    <row r="1488" spans="1:10" ht="15.75" thickBot="1" x14ac:dyDescent="0.3">
      <c r="A1488" s="8">
        <v>1487</v>
      </c>
      <c r="B1488" s="9" t="s">
        <v>18</v>
      </c>
      <c r="C1488" s="9" t="s">
        <v>1216</v>
      </c>
      <c r="D1488" s="10">
        <v>44987</v>
      </c>
      <c r="E1488" s="21">
        <v>480</v>
      </c>
      <c r="F1488" s="11">
        <v>0</v>
      </c>
      <c r="J1488" s="16"/>
    </row>
    <row r="1489" spans="1:10" ht="15.75" thickBot="1" x14ac:dyDescent="0.3">
      <c r="A1489" s="8">
        <v>1488</v>
      </c>
      <c r="B1489" s="9" t="s">
        <v>20</v>
      </c>
      <c r="C1489" s="9" t="s">
        <v>1217</v>
      </c>
      <c r="D1489" s="10">
        <v>44743</v>
      </c>
      <c r="E1489" s="21">
        <v>900</v>
      </c>
      <c r="F1489" s="11">
        <v>0</v>
      </c>
      <c r="J1489" s="16"/>
    </row>
    <row r="1490" spans="1:10" ht="30.75" thickBot="1" x14ac:dyDescent="0.3">
      <c r="A1490" s="4">
        <v>1489</v>
      </c>
      <c r="B1490" s="5" t="s">
        <v>22</v>
      </c>
      <c r="C1490" s="5" t="s">
        <v>1218</v>
      </c>
      <c r="D1490" s="6">
        <v>44916</v>
      </c>
      <c r="E1490" s="20">
        <v>647</v>
      </c>
      <c r="F1490" s="7">
        <v>0</v>
      </c>
      <c r="J1490" s="16"/>
    </row>
    <row r="1491" spans="1:10" ht="30.75" thickBot="1" x14ac:dyDescent="0.3">
      <c r="A1491" s="4">
        <v>1490</v>
      </c>
      <c r="B1491" s="5" t="s">
        <v>24</v>
      </c>
      <c r="C1491" s="5" t="s">
        <v>1219</v>
      </c>
      <c r="D1491" s="6">
        <v>44839</v>
      </c>
      <c r="E1491" s="20">
        <v>781</v>
      </c>
      <c r="F1491" s="7">
        <v>0</v>
      </c>
      <c r="J1491" s="16"/>
    </row>
    <row r="1492" spans="1:10" ht="30.75" thickBot="1" x14ac:dyDescent="0.3">
      <c r="A1492" s="8">
        <v>1491</v>
      </c>
      <c r="B1492" s="9" t="s">
        <v>6</v>
      </c>
      <c r="C1492" s="9" t="s">
        <v>1220</v>
      </c>
      <c r="D1492" s="10">
        <v>44834</v>
      </c>
      <c r="E1492" s="21">
        <v>845</v>
      </c>
      <c r="F1492" s="11">
        <v>0</v>
      </c>
      <c r="J1492" s="16"/>
    </row>
    <row r="1493" spans="1:10" ht="15.75" thickBot="1" x14ac:dyDescent="0.3">
      <c r="A1493" s="8">
        <v>1492</v>
      </c>
      <c r="B1493" s="9" t="s">
        <v>8</v>
      </c>
      <c r="C1493" s="9" t="s">
        <v>1221</v>
      </c>
      <c r="D1493" s="10">
        <v>44777</v>
      </c>
      <c r="E1493" s="21">
        <v>666</v>
      </c>
      <c r="F1493" s="11">
        <v>0</v>
      </c>
      <c r="J1493" s="16"/>
    </row>
    <row r="1494" spans="1:10" ht="30.75" thickBot="1" x14ac:dyDescent="0.3">
      <c r="A1494" s="4">
        <v>1493</v>
      </c>
      <c r="B1494" s="5" t="s">
        <v>10</v>
      </c>
      <c r="C1494" s="5" t="s">
        <v>1222</v>
      </c>
      <c r="D1494" s="6">
        <v>44952</v>
      </c>
      <c r="E1494" s="20">
        <v>675</v>
      </c>
      <c r="F1494" s="7">
        <v>0</v>
      </c>
      <c r="J1494" s="16"/>
    </row>
    <row r="1495" spans="1:10" ht="30.75" thickBot="1" x14ac:dyDescent="0.3">
      <c r="A1495" s="4">
        <v>1494</v>
      </c>
      <c r="B1495" s="5" t="s">
        <v>12</v>
      </c>
      <c r="C1495" s="5" t="s">
        <v>1223</v>
      </c>
      <c r="D1495" s="6">
        <v>44783</v>
      </c>
      <c r="E1495" s="20">
        <v>634</v>
      </c>
      <c r="F1495" s="7">
        <v>0</v>
      </c>
      <c r="J1495" s="16"/>
    </row>
    <row r="1496" spans="1:10" ht="30.75" thickBot="1" x14ac:dyDescent="0.3">
      <c r="A1496" s="8">
        <v>1495</v>
      </c>
      <c r="B1496" s="9" t="s">
        <v>14</v>
      </c>
      <c r="C1496" s="9" t="s">
        <v>1224</v>
      </c>
      <c r="D1496" s="10">
        <v>44797</v>
      </c>
      <c r="E1496" s="21">
        <v>837</v>
      </c>
      <c r="F1496" s="11">
        <v>0</v>
      </c>
      <c r="J1496" s="16"/>
    </row>
    <row r="1497" spans="1:10" ht="30.75" thickBot="1" x14ac:dyDescent="0.3">
      <c r="A1497" s="8">
        <v>1496</v>
      </c>
      <c r="B1497" s="9" t="s">
        <v>16</v>
      </c>
      <c r="C1497" s="9" t="s">
        <v>1225</v>
      </c>
      <c r="D1497" s="10">
        <v>44598</v>
      </c>
      <c r="E1497" s="21">
        <v>548</v>
      </c>
      <c r="F1497" s="11">
        <v>0</v>
      </c>
      <c r="J1497" s="16"/>
    </row>
    <row r="1498" spans="1:10" ht="15.75" thickBot="1" x14ac:dyDescent="0.3">
      <c r="A1498" s="4">
        <v>1497</v>
      </c>
      <c r="B1498" s="5" t="s">
        <v>18</v>
      </c>
      <c r="C1498" s="5" t="s">
        <v>1226</v>
      </c>
      <c r="D1498" s="6">
        <v>44922</v>
      </c>
      <c r="E1498" s="20">
        <v>603</v>
      </c>
      <c r="F1498" s="7">
        <v>0</v>
      </c>
      <c r="J1498" s="16"/>
    </row>
    <row r="1499" spans="1:10" ht="15.75" thickBot="1" x14ac:dyDescent="0.3">
      <c r="A1499" s="4">
        <v>1498</v>
      </c>
      <c r="B1499" s="5" t="s">
        <v>20</v>
      </c>
      <c r="C1499" s="5" t="s">
        <v>1227</v>
      </c>
      <c r="D1499" s="6">
        <v>44890</v>
      </c>
      <c r="E1499" s="20">
        <v>559</v>
      </c>
      <c r="F1499" s="7">
        <v>0</v>
      </c>
      <c r="J1499" s="16"/>
    </row>
    <row r="1500" spans="1:10" ht="30.75" thickBot="1" x14ac:dyDescent="0.3">
      <c r="A1500" s="8">
        <v>1499</v>
      </c>
      <c r="B1500" s="9" t="s">
        <v>22</v>
      </c>
      <c r="C1500" s="9" t="s">
        <v>1228</v>
      </c>
      <c r="D1500" s="10">
        <v>44674</v>
      </c>
      <c r="E1500" s="21">
        <v>740</v>
      </c>
      <c r="F1500" s="11">
        <v>0</v>
      </c>
      <c r="J1500" s="16"/>
    </row>
    <row r="1501" spans="1:10" ht="30.75" thickBot="1" x14ac:dyDescent="0.3">
      <c r="A1501" s="8">
        <v>1500</v>
      </c>
      <c r="B1501" s="9" t="s">
        <v>24</v>
      </c>
      <c r="C1501" s="9" t="s">
        <v>1229</v>
      </c>
      <c r="D1501" s="10">
        <v>44922</v>
      </c>
      <c r="E1501" s="21">
        <v>970</v>
      </c>
      <c r="F1501" s="11">
        <v>0</v>
      </c>
      <c r="J1501" s="16"/>
    </row>
    <row r="1502" spans="1:10" ht="30.75" thickBot="1" x14ac:dyDescent="0.3">
      <c r="A1502" s="4">
        <v>1501</v>
      </c>
      <c r="B1502" s="5" t="s">
        <v>6</v>
      </c>
      <c r="C1502" s="5" t="s">
        <v>1230</v>
      </c>
      <c r="D1502" s="6">
        <v>44771</v>
      </c>
      <c r="E1502" s="20">
        <v>431</v>
      </c>
      <c r="F1502" s="7">
        <v>0</v>
      </c>
      <c r="J1502" s="16"/>
    </row>
    <row r="1503" spans="1:10" ht="15.75" thickBot="1" x14ac:dyDescent="0.3">
      <c r="A1503" s="4">
        <v>1502</v>
      </c>
      <c r="B1503" s="5" t="s">
        <v>8</v>
      </c>
      <c r="C1503" s="5" t="s">
        <v>1231</v>
      </c>
      <c r="D1503" s="6">
        <v>44585</v>
      </c>
      <c r="E1503" s="20">
        <v>567</v>
      </c>
      <c r="F1503" s="7">
        <v>0</v>
      </c>
      <c r="J1503" s="16"/>
    </row>
    <row r="1504" spans="1:10" ht="30.75" thickBot="1" x14ac:dyDescent="0.3">
      <c r="A1504" s="8">
        <v>1503</v>
      </c>
      <c r="B1504" s="9" t="s">
        <v>10</v>
      </c>
      <c r="C1504" s="9" t="s">
        <v>1232</v>
      </c>
      <c r="D1504" s="10">
        <v>45017</v>
      </c>
      <c r="E1504" s="21">
        <v>939</v>
      </c>
      <c r="F1504" s="11">
        <v>0</v>
      </c>
      <c r="J1504" s="16"/>
    </row>
    <row r="1505" spans="1:10" ht="30.75" thickBot="1" x14ac:dyDescent="0.3">
      <c r="A1505" s="8">
        <v>1504</v>
      </c>
      <c r="B1505" s="9" t="s">
        <v>12</v>
      </c>
      <c r="C1505" s="9" t="s">
        <v>1233</v>
      </c>
      <c r="D1505" s="10">
        <v>44752</v>
      </c>
      <c r="E1505" s="21">
        <v>652</v>
      </c>
      <c r="F1505" s="11">
        <v>0</v>
      </c>
      <c r="J1505" s="16"/>
    </row>
    <row r="1506" spans="1:10" ht="30.75" thickBot="1" x14ac:dyDescent="0.3">
      <c r="A1506" s="4">
        <v>1505</v>
      </c>
      <c r="B1506" s="5" t="s">
        <v>14</v>
      </c>
      <c r="C1506" s="5" t="s">
        <v>1234</v>
      </c>
      <c r="D1506" s="6">
        <v>44792</v>
      </c>
      <c r="E1506" s="20">
        <v>776</v>
      </c>
      <c r="F1506" s="7">
        <v>0</v>
      </c>
      <c r="J1506" s="16"/>
    </row>
    <row r="1507" spans="1:10" ht="30.75" thickBot="1" x14ac:dyDescent="0.3">
      <c r="A1507" s="4">
        <v>1506</v>
      </c>
      <c r="B1507" s="5" t="s">
        <v>16</v>
      </c>
      <c r="C1507" s="5" t="s">
        <v>1235</v>
      </c>
      <c r="D1507" s="6">
        <v>44660</v>
      </c>
      <c r="E1507" s="20">
        <v>947</v>
      </c>
      <c r="F1507" s="7">
        <v>0</v>
      </c>
      <c r="J1507" s="16"/>
    </row>
    <row r="1508" spans="1:10" ht="15.75" thickBot="1" x14ac:dyDescent="0.3">
      <c r="A1508" s="8">
        <v>1507</v>
      </c>
      <c r="B1508" s="9" t="s">
        <v>18</v>
      </c>
      <c r="C1508" s="9" t="s">
        <v>1236</v>
      </c>
      <c r="D1508" s="10">
        <v>45047</v>
      </c>
      <c r="E1508" s="21">
        <v>526</v>
      </c>
      <c r="F1508" s="11">
        <v>0</v>
      </c>
      <c r="J1508" s="16"/>
    </row>
    <row r="1509" spans="1:10" ht="15.75" thickBot="1" x14ac:dyDescent="0.3">
      <c r="A1509" s="8">
        <v>1508</v>
      </c>
      <c r="B1509" s="9" t="s">
        <v>20</v>
      </c>
      <c r="C1509" s="9" t="s">
        <v>1237</v>
      </c>
      <c r="D1509" s="10">
        <v>44822</v>
      </c>
      <c r="E1509" s="21">
        <v>644</v>
      </c>
      <c r="F1509" s="11">
        <v>0</v>
      </c>
      <c r="J1509" s="16"/>
    </row>
    <row r="1510" spans="1:10" ht="30.75" thickBot="1" x14ac:dyDescent="0.3">
      <c r="A1510" s="4">
        <v>1509</v>
      </c>
      <c r="B1510" s="5" t="s">
        <v>22</v>
      </c>
      <c r="C1510" s="5" t="s">
        <v>1238</v>
      </c>
      <c r="D1510" s="6">
        <v>44637</v>
      </c>
      <c r="E1510" s="20">
        <v>542</v>
      </c>
      <c r="F1510" s="7">
        <v>0</v>
      </c>
      <c r="J1510" s="16"/>
    </row>
    <row r="1511" spans="1:10" ht="30.75" thickBot="1" x14ac:dyDescent="0.3">
      <c r="A1511" s="4">
        <v>1510</v>
      </c>
      <c r="B1511" s="5" t="s">
        <v>24</v>
      </c>
      <c r="C1511" s="5" t="s">
        <v>1239</v>
      </c>
      <c r="D1511" s="6">
        <v>44562</v>
      </c>
      <c r="E1511" s="20">
        <v>484</v>
      </c>
      <c r="F1511" s="7">
        <v>0</v>
      </c>
      <c r="J1511" s="16"/>
    </row>
    <row r="1512" spans="1:10" ht="30.75" thickBot="1" x14ac:dyDescent="0.3">
      <c r="A1512" s="8">
        <v>1511</v>
      </c>
      <c r="B1512" s="9" t="s">
        <v>6</v>
      </c>
      <c r="C1512" s="9" t="s">
        <v>1240</v>
      </c>
      <c r="D1512" s="10">
        <v>44894</v>
      </c>
      <c r="E1512" s="21">
        <v>726</v>
      </c>
      <c r="F1512" s="11">
        <v>0</v>
      </c>
      <c r="J1512" s="16"/>
    </row>
    <row r="1513" spans="1:10" ht="15.75" thickBot="1" x14ac:dyDescent="0.3">
      <c r="A1513" s="8">
        <v>1512</v>
      </c>
      <c r="B1513" s="9" t="s">
        <v>8</v>
      </c>
      <c r="C1513" s="9" t="s">
        <v>1241</v>
      </c>
      <c r="D1513" s="10">
        <v>44961</v>
      </c>
      <c r="E1513" s="21">
        <v>657</v>
      </c>
      <c r="F1513" s="11">
        <v>0</v>
      </c>
      <c r="J1513" s="16"/>
    </row>
    <row r="1514" spans="1:10" ht="30.75" thickBot="1" x14ac:dyDescent="0.3">
      <c r="A1514" s="4">
        <v>1513</v>
      </c>
      <c r="B1514" s="5" t="s">
        <v>10</v>
      </c>
      <c r="C1514" s="5" t="s">
        <v>1242</v>
      </c>
      <c r="D1514" s="6">
        <v>44890</v>
      </c>
      <c r="E1514" s="20">
        <v>965</v>
      </c>
      <c r="F1514" s="7">
        <v>0</v>
      </c>
      <c r="J1514" s="16"/>
    </row>
    <row r="1515" spans="1:10" ht="30.75" thickBot="1" x14ac:dyDescent="0.3">
      <c r="A1515" s="4">
        <v>1514</v>
      </c>
      <c r="B1515" s="5" t="s">
        <v>12</v>
      </c>
      <c r="C1515" s="5" t="s">
        <v>1243</v>
      </c>
      <c r="D1515" s="6">
        <v>44996</v>
      </c>
      <c r="E1515" s="20">
        <v>818</v>
      </c>
      <c r="F1515" s="7">
        <v>0</v>
      </c>
      <c r="J1515" s="16"/>
    </row>
    <row r="1516" spans="1:10" ht="30.75" thickBot="1" x14ac:dyDescent="0.3">
      <c r="A1516" s="8">
        <v>1515</v>
      </c>
      <c r="B1516" s="9" t="s">
        <v>14</v>
      </c>
      <c r="C1516" s="9" t="s">
        <v>1244</v>
      </c>
      <c r="D1516" s="10">
        <v>44726</v>
      </c>
      <c r="E1516" s="21">
        <v>713</v>
      </c>
      <c r="F1516" s="11">
        <v>0</v>
      </c>
      <c r="J1516" s="16"/>
    </row>
    <row r="1517" spans="1:10" ht="30.75" thickBot="1" x14ac:dyDescent="0.3">
      <c r="A1517" s="8">
        <v>1516</v>
      </c>
      <c r="B1517" s="9" t="s">
        <v>16</v>
      </c>
      <c r="C1517" s="9" t="s">
        <v>1245</v>
      </c>
      <c r="D1517" s="10">
        <v>45047</v>
      </c>
      <c r="E1517" s="21">
        <v>805</v>
      </c>
      <c r="F1517" s="11">
        <v>0</v>
      </c>
      <c r="J1517" s="16"/>
    </row>
    <row r="1518" spans="1:10" ht="15.75" thickBot="1" x14ac:dyDescent="0.3">
      <c r="A1518" s="4">
        <v>1517</v>
      </c>
      <c r="B1518" s="5" t="s">
        <v>18</v>
      </c>
      <c r="C1518" s="5" t="s">
        <v>1246</v>
      </c>
      <c r="D1518" s="6">
        <v>44890</v>
      </c>
      <c r="E1518" s="20">
        <v>586</v>
      </c>
      <c r="F1518" s="7">
        <v>0</v>
      </c>
      <c r="J1518" s="16"/>
    </row>
    <row r="1519" spans="1:10" ht="15.75" thickBot="1" x14ac:dyDescent="0.3">
      <c r="A1519" s="4">
        <v>1518</v>
      </c>
      <c r="B1519" s="5" t="s">
        <v>20</v>
      </c>
      <c r="C1519" s="5" t="s">
        <v>1247</v>
      </c>
      <c r="D1519" s="6">
        <v>44800</v>
      </c>
      <c r="E1519" s="20">
        <v>936</v>
      </c>
      <c r="F1519" s="7">
        <v>0</v>
      </c>
      <c r="J1519" s="16"/>
    </row>
    <row r="1520" spans="1:10" ht="30.75" thickBot="1" x14ac:dyDescent="0.3">
      <c r="A1520" s="8">
        <v>1519</v>
      </c>
      <c r="B1520" s="9" t="s">
        <v>22</v>
      </c>
      <c r="C1520" s="9" t="s">
        <v>1248</v>
      </c>
      <c r="D1520" s="10">
        <v>44903</v>
      </c>
      <c r="E1520" s="21">
        <v>625</v>
      </c>
      <c r="F1520" s="11">
        <v>0</v>
      </c>
      <c r="J1520" s="16"/>
    </row>
    <row r="1521" spans="1:10" ht="30.75" thickBot="1" x14ac:dyDescent="0.3">
      <c r="A1521" s="8">
        <v>1520</v>
      </c>
      <c r="B1521" s="9" t="s">
        <v>24</v>
      </c>
      <c r="C1521" s="9" t="s">
        <v>1249</v>
      </c>
      <c r="D1521" s="10">
        <v>44900</v>
      </c>
      <c r="E1521" s="21">
        <v>772</v>
      </c>
      <c r="F1521" s="11">
        <v>0</v>
      </c>
      <c r="J1521" s="16"/>
    </row>
    <row r="1522" spans="1:10" ht="30.75" thickBot="1" x14ac:dyDescent="0.3">
      <c r="A1522" s="4">
        <v>1521</v>
      </c>
      <c r="B1522" s="5" t="s">
        <v>6</v>
      </c>
      <c r="C1522" s="5" t="s">
        <v>1250</v>
      </c>
      <c r="D1522" s="6">
        <v>44753</v>
      </c>
      <c r="E1522" s="20">
        <v>561</v>
      </c>
      <c r="F1522" s="7">
        <v>0</v>
      </c>
      <c r="J1522" s="16"/>
    </row>
    <row r="1523" spans="1:10" ht="15.75" thickBot="1" x14ac:dyDescent="0.3">
      <c r="A1523" s="4">
        <v>1522</v>
      </c>
      <c r="B1523" s="5" t="s">
        <v>8</v>
      </c>
      <c r="C1523" s="5" t="s">
        <v>1251</v>
      </c>
      <c r="D1523" s="6">
        <v>44793</v>
      </c>
      <c r="E1523" s="20">
        <v>858</v>
      </c>
      <c r="F1523" s="7">
        <v>0</v>
      </c>
      <c r="J1523" s="16"/>
    </row>
    <row r="1524" spans="1:10" ht="30.75" thickBot="1" x14ac:dyDescent="0.3">
      <c r="A1524" s="8">
        <v>1523</v>
      </c>
      <c r="B1524" s="9" t="s">
        <v>10</v>
      </c>
      <c r="C1524" s="9" t="s">
        <v>1252</v>
      </c>
      <c r="D1524" s="10">
        <v>44732</v>
      </c>
      <c r="E1524" s="21">
        <v>776</v>
      </c>
      <c r="F1524" s="11">
        <v>0</v>
      </c>
      <c r="J1524" s="16"/>
    </row>
    <row r="1525" spans="1:10" ht="30.75" thickBot="1" x14ac:dyDescent="0.3">
      <c r="A1525" s="8">
        <v>1524</v>
      </c>
      <c r="B1525" s="9" t="s">
        <v>12</v>
      </c>
      <c r="C1525" s="9" t="s">
        <v>1253</v>
      </c>
      <c r="D1525" s="10">
        <v>44939</v>
      </c>
      <c r="E1525" s="21">
        <v>659</v>
      </c>
      <c r="F1525" s="11">
        <v>0</v>
      </c>
      <c r="J1525" s="16"/>
    </row>
    <row r="1526" spans="1:10" ht="30.75" thickBot="1" x14ac:dyDescent="0.3">
      <c r="A1526" s="4">
        <v>1525</v>
      </c>
      <c r="B1526" s="5" t="s">
        <v>14</v>
      </c>
      <c r="C1526" s="5" t="s">
        <v>1254</v>
      </c>
      <c r="D1526" s="6">
        <v>44891</v>
      </c>
      <c r="E1526" s="20">
        <v>584</v>
      </c>
      <c r="F1526" s="7">
        <v>0</v>
      </c>
      <c r="J1526" s="16"/>
    </row>
    <row r="1527" spans="1:10" ht="30.75" thickBot="1" x14ac:dyDescent="0.3">
      <c r="A1527" s="4">
        <v>1526</v>
      </c>
      <c r="B1527" s="5" t="s">
        <v>16</v>
      </c>
      <c r="C1527" s="5" t="s">
        <v>1255</v>
      </c>
      <c r="D1527" s="6">
        <v>44902</v>
      </c>
      <c r="E1527" s="20">
        <v>825</v>
      </c>
      <c r="F1527" s="7">
        <v>0</v>
      </c>
      <c r="J1527" s="16"/>
    </row>
    <row r="1528" spans="1:10" ht="15.75" thickBot="1" x14ac:dyDescent="0.3">
      <c r="A1528" s="8">
        <v>1527</v>
      </c>
      <c r="B1528" s="9" t="s">
        <v>18</v>
      </c>
      <c r="C1528" s="9" t="s">
        <v>1256</v>
      </c>
      <c r="D1528" s="10">
        <v>44772</v>
      </c>
      <c r="E1528" s="21">
        <v>450</v>
      </c>
      <c r="F1528" s="11">
        <v>0</v>
      </c>
      <c r="J1528" s="16"/>
    </row>
    <row r="1529" spans="1:10" ht="15.75" thickBot="1" x14ac:dyDescent="0.3">
      <c r="A1529" s="8">
        <v>1528</v>
      </c>
      <c r="B1529" s="9" t="s">
        <v>20</v>
      </c>
      <c r="C1529" s="9" t="s">
        <v>1257</v>
      </c>
      <c r="D1529" s="10">
        <v>44983</v>
      </c>
      <c r="E1529" s="21">
        <v>935</v>
      </c>
      <c r="F1529" s="11">
        <v>0</v>
      </c>
      <c r="J1529" s="16"/>
    </row>
    <row r="1530" spans="1:10" ht="30.75" thickBot="1" x14ac:dyDescent="0.3">
      <c r="A1530" s="4">
        <v>1529</v>
      </c>
      <c r="B1530" s="5" t="s">
        <v>22</v>
      </c>
      <c r="C1530" s="5" t="s">
        <v>1258</v>
      </c>
      <c r="D1530" s="6">
        <v>44900</v>
      </c>
      <c r="E1530" s="20">
        <v>480</v>
      </c>
      <c r="F1530" s="7">
        <v>0</v>
      </c>
      <c r="J1530" s="16"/>
    </row>
    <row r="1531" spans="1:10" ht="30.75" thickBot="1" x14ac:dyDescent="0.3">
      <c r="A1531" s="4">
        <v>1530</v>
      </c>
      <c r="B1531" s="5" t="s">
        <v>24</v>
      </c>
      <c r="C1531" s="5" t="s">
        <v>1259</v>
      </c>
      <c r="D1531" s="6">
        <v>44977</v>
      </c>
      <c r="E1531" s="20">
        <v>446</v>
      </c>
      <c r="F1531" s="7">
        <v>0</v>
      </c>
      <c r="J1531" s="16"/>
    </row>
    <row r="1532" spans="1:10" ht="30.75" thickBot="1" x14ac:dyDescent="0.3">
      <c r="A1532" s="8">
        <v>1531</v>
      </c>
      <c r="B1532" s="9" t="s">
        <v>6</v>
      </c>
      <c r="C1532" s="9" t="s">
        <v>1260</v>
      </c>
      <c r="D1532" s="10">
        <v>44762</v>
      </c>
      <c r="E1532" s="21">
        <v>483</v>
      </c>
      <c r="F1532" s="11">
        <v>0</v>
      </c>
      <c r="J1532" s="16"/>
    </row>
    <row r="1533" spans="1:10" ht="15.75" thickBot="1" x14ac:dyDescent="0.3">
      <c r="A1533" s="8">
        <v>1532</v>
      </c>
      <c r="B1533" s="9" t="s">
        <v>8</v>
      </c>
      <c r="C1533" s="9" t="s">
        <v>1261</v>
      </c>
      <c r="D1533" s="10">
        <v>45011</v>
      </c>
      <c r="E1533" s="21">
        <v>880</v>
      </c>
      <c r="F1533" s="11">
        <v>0</v>
      </c>
      <c r="J1533" s="16"/>
    </row>
    <row r="1534" spans="1:10" ht="30.75" thickBot="1" x14ac:dyDescent="0.3">
      <c r="A1534" s="4">
        <v>1533</v>
      </c>
      <c r="B1534" s="5" t="s">
        <v>10</v>
      </c>
      <c r="C1534" s="5" t="s">
        <v>1262</v>
      </c>
      <c r="D1534" s="6">
        <v>45015</v>
      </c>
      <c r="E1534" s="20">
        <v>624</v>
      </c>
      <c r="F1534" s="7">
        <v>0</v>
      </c>
      <c r="J1534" s="16"/>
    </row>
    <row r="1535" spans="1:10" ht="30.75" thickBot="1" x14ac:dyDescent="0.3">
      <c r="A1535" s="4">
        <v>1534</v>
      </c>
      <c r="B1535" s="5" t="s">
        <v>12</v>
      </c>
      <c r="C1535" s="5" t="s">
        <v>1263</v>
      </c>
      <c r="D1535" s="6">
        <v>44816</v>
      </c>
      <c r="E1535" s="20">
        <v>445</v>
      </c>
      <c r="F1535" s="7">
        <v>0</v>
      </c>
      <c r="J1535" s="16"/>
    </row>
    <row r="1536" spans="1:10" ht="30.75" thickBot="1" x14ac:dyDescent="0.3">
      <c r="A1536" s="8">
        <v>1535</v>
      </c>
      <c r="B1536" s="9" t="s">
        <v>14</v>
      </c>
      <c r="C1536" s="9" t="s">
        <v>1264</v>
      </c>
      <c r="D1536" s="10">
        <v>44655</v>
      </c>
      <c r="E1536" s="21">
        <v>842</v>
      </c>
      <c r="F1536" s="11">
        <v>0</v>
      </c>
      <c r="J1536" s="16"/>
    </row>
    <row r="1537" spans="1:10" ht="30.75" thickBot="1" x14ac:dyDescent="0.3">
      <c r="A1537" s="8">
        <v>1536</v>
      </c>
      <c r="B1537" s="9" t="s">
        <v>16</v>
      </c>
      <c r="C1537" s="9" t="s">
        <v>1265</v>
      </c>
      <c r="D1537" s="10">
        <v>44933</v>
      </c>
      <c r="E1537" s="21">
        <v>781</v>
      </c>
      <c r="F1537" s="11">
        <v>0</v>
      </c>
      <c r="J1537" s="16"/>
    </row>
    <row r="1538" spans="1:10" ht="15.75" thickBot="1" x14ac:dyDescent="0.3">
      <c r="A1538" s="4">
        <v>1537</v>
      </c>
      <c r="B1538" s="5" t="s">
        <v>18</v>
      </c>
      <c r="C1538" s="5" t="s">
        <v>1266</v>
      </c>
      <c r="D1538" s="6">
        <v>44963</v>
      </c>
      <c r="E1538" s="20">
        <v>939</v>
      </c>
      <c r="F1538" s="7">
        <v>0</v>
      </c>
      <c r="J1538" s="16"/>
    </row>
    <row r="1539" spans="1:10" ht="15.75" thickBot="1" x14ac:dyDescent="0.3">
      <c r="A1539" s="4">
        <v>1538</v>
      </c>
      <c r="B1539" s="5" t="s">
        <v>20</v>
      </c>
      <c r="C1539" s="5" t="s">
        <v>1267</v>
      </c>
      <c r="D1539" s="6">
        <v>44818</v>
      </c>
      <c r="E1539" s="20">
        <v>609</v>
      </c>
      <c r="F1539" s="7">
        <v>0</v>
      </c>
      <c r="J1539" s="16"/>
    </row>
    <row r="1540" spans="1:10" ht="30.75" thickBot="1" x14ac:dyDescent="0.3">
      <c r="A1540" s="8">
        <v>1539</v>
      </c>
      <c r="B1540" s="9" t="s">
        <v>22</v>
      </c>
      <c r="C1540" s="9" t="s">
        <v>1268</v>
      </c>
      <c r="D1540" s="10">
        <v>44893</v>
      </c>
      <c r="E1540" s="21">
        <v>874</v>
      </c>
      <c r="F1540" s="11">
        <v>0</v>
      </c>
      <c r="J1540" s="16"/>
    </row>
    <row r="1541" spans="1:10" ht="30.75" thickBot="1" x14ac:dyDescent="0.3">
      <c r="A1541" s="8">
        <v>1540</v>
      </c>
      <c r="B1541" s="9" t="s">
        <v>24</v>
      </c>
      <c r="C1541" s="9" t="s">
        <v>1269</v>
      </c>
      <c r="D1541" s="10">
        <v>44728</v>
      </c>
      <c r="E1541" s="21">
        <v>964</v>
      </c>
      <c r="F1541" s="11">
        <v>0</v>
      </c>
      <c r="J1541" s="16"/>
    </row>
    <row r="1542" spans="1:10" ht="30.75" thickBot="1" x14ac:dyDescent="0.3">
      <c r="A1542" s="4">
        <v>1541</v>
      </c>
      <c r="B1542" s="5" t="s">
        <v>6</v>
      </c>
      <c r="C1542" s="5" t="s">
        <v>1270</v>
      </c>
      <c r="D1542" s="6">
        <v>44794</v>
      </c>
      <c r="E1542" s="20">
        <v>402</v>
      </c>
      <c r="F1542" s="7">
        <v>0</v>
      </c>
      <c r="J1542" s="16"/>
    </row>
    <row r="1543" spans="1:10" ht="15.75" thickBot="1" x14ac:dyDescent="0.3">
      <c r="A1543" s="4">
        <v>1542</v>
      </c>
      <c r="B1543" s="5" t="s">
        <v>8</v>
      </c>
      <c r="C1543" s="5" t="s">
        <v>1271</v>
      </c>
      <c r="D1543" s="6">
        <v>44845</v>
      </c>
      <c r="E1543" s="20">
        <v>508</v>
      </c>
      <c r="F1543" s="7">
        <v>0</v>
      </c>
      <c r="J1543" s="16"/>
    </row>
    <row r="1544" spans="1:10" ht="30.75" thickBot="1" x14ac:dyDescent="0.3">
      <c r="A1544" s="8">
        <v>1543</v>
      </c>
      <c r="B1544" s="9" t="s">
        <v>10</v>
      </c>
      <c r="C1544" s="9" t="s">
        <v>1272</v>
      </c>
      <c r="D1544" s="10">
        <v>45012</v>
      </c>
      <c r="E1544" s="21">
        <v>559</v>
      </c>
      <c r="F1544" s="11">
        <v>0</v>
      </c>
      <c r="J1544" s="16"/>
    </row>
    <row r="1545" spans="1:10" ht="30.75" thickBot="1" x14ac:dyDescent="0.3">
      <c r="A1545" s="8">
        <v>1544</v>
      </c>
      <c r="B1545" s="9" t="s">
        <v>12</v>
      </c>
      <c r="C1545" s="9" t="s">
        <v>1273</v>
      </c>
      <c r="D1545" s="10">
        <v>44654</v>
      </c>
      <c r="E1545" s="21">
        <v>898</v>
      </c>
      <c r="F1545" s="11">
        <v>0</v>
      </c>
      <c r="J1545" s="16"/>
    </row>
    <row r="1546" spans="1:10" ht="30.75" thickBot="1" x14ac:dyDescent="0.3">
      <c r="A1546" s="4">
        <v>1545</v>
      </c>
      <c r="B1546" s="5" t="s">
        <v>14</v>
      </c>
      <c r="C1546" s="5" t="s">
        <v>1274</v>
      </c>
      <c r="D1546" s="6">
        <v>44823</v>
      </c>
      <c r="E1546" s="20">
        <v>710</v>
      </c>
      <c r="F1546" s="7">
        <v>0</v>
      </c>
      <c r="J1546" s="16"/>
    </row>
    <row r="1547" spans="1:10" ht="30.75" thickBot="1" x14ac:dyDescent="0.3">
      <c r="A1547" s="4">
        <v>1546</v>
      </c>
      <c r="B1547" s="5" t="s">
        <v>16</v>
      </c>
      <c r="C1547" s="5" t="s">
        <v>1275</v>
      </c>
      <c r="D1547" s="6">
        <v>44931</v>
      </c>
      <c r="E1547" s="20">
        <v>516</v>
      </c>
      <c r="F1547" s="7">
        <v>0</v>
      </c>
      <c r="J1547" s="16"/>
    </row>
    <row r="1548" spans="1:10" ht="15.75" thickBot="1" x14ac:dyDescent="0.3">
      <c r="A1548" s="8">
        <v>1547</v>
      </c>
      <c r="B1548" s="9" t="s">
        <v>18</v>
      </c>
      <c r="C1548" s="9" t="s">
        <v>1276</v>
      </c>
      <c r="D1548" s="10">
        <v>44732</v>
      </c>
      <c r="E1548" s="21">
        <v>418</v>
      </c>
      <c r="F1548" s="11">
        <v>0</v>
      </c>
      <c r="J1548" s="16"/>
    </row>
    <row r="1549" spans="1:10" ht="15.75" thickBot="1" x14ac:dyDescent="0.3">
      <c r="A1549" s="8">
        <v>1548</v>
      </c>
      <c r="B1549" s="9" t="s">
        <v>20</v>
      </c>
      <c r="C1549" s="9" t="s">
        <v>1277</v>
      </c>
      <c r="D1549" s="10">
        <v>44906</v>
      </c>
      <c r="E1549" s="21">
        <v>559</v>
      </c>
      <c r="F1549" s="11">
        <v>0</v>
      </c>
      <c r="J1549" s="16"/>
    </row>
    <row r="1550" spans="1:10" ht="30.75" thickBot="1" x14ac:dyDescent="0.3">
      <c r="A1550" s="4">
        <v>1549</v>
      </c>
      <c r="B1550" s="5" t="s">
        <v>22</v>
      </c>
      <c r="C1550" s="5" t="s">
        <v>1278</v>
      </c>
      <c r="D1550" s="6">
        <v>44797</v>
      </c>
      <c r="E1550" s="20">
        <v>761</v>
      </c>
      <c r="F1550" s="7">
        <v>0</v>
      </c>
      <c r="J1550" s="16"/>
    </row>
    <row r="1551" spans="1:10" ht="30.75" thickBot="1" x14ac:dyDescent="0.3">
      <c r="A1551" s="4">
        <v>1550</v>
      </c>
      <c r="B1551" s="5" t="s">
        <v>24</v>
      </c>
      <c r="C1551" s="5" t="s">
        <v>1279</v>
      </c>
      <c r="D1551" s="6">
        <v>44673</v>
      </c>
      <c r="E1551" s="20">
        <v>621</v>
      </c>
      <c r="F1551" s="7">
        <v>0</v>
      </c>
      <c r="J1551" s="16"/>
    </row>
    <row r="1552" spans="1:10" ht="30.75" thickBot="1" x14ac:dyDescent="0.3">
      <c r="A1552" s="8">
        <v>1551</v>
      </c>
      <c r="B1552" s="9" t="s">
        <v>6</v>
      </c>
      <c r="C1552" s="9" t="s">
        <v>1280</v>
      </c>
      <c r="D1552" s="10">
        <v>44821</v>
      </c>
      <c r="E1552" s="21">
        <v>912</v>
      </c>
      <c r="F1552" s="11">
        <v>0</v>
      </c>
      <c r="J1552" s="16"/>
    </row>
    <row r="1553" spans="1:10" ht="15.75" thickBot="1" x14ac:dyDescent="0.3">
      <c r="A1553" s="8">
        <v>1552</v>
      </c>
      <c r="B1553" s="9" t="s">
        <v>8</v>
      </c>
      <c r="C1553" s="9" t="s">
        <v>1281</v>
      </c>
      <c r="D1553" s="10">
        <v>44735</v>
      </c>
      <c r="E1553" s="21">
        <v>778</v>
      </c>
      <c r="F1553" s="11">
        <v>0</v>
      </c>
      <c r="J1553" s="16"/>
    </row>
    <row r="1554" spans="1:10" ht="30.75" thickBot="1" x14ac:dyDescent="0.3">
      <c r="A1554" s="4">
        <v>1553</v>
      </c>
      <c r="B1554" s="5" t="s">
        <v>10</v>
      </c>
      <c r="C1554" s="5" t="s">
        <v>1282</v>
      </c>
      <c r="D1554" s="6">
        <v>44667</v>
      </c>
      <c r="E1554" s="20">
        <v>886</v>
      </c>
      <c r="F1554" s="7">
        <v>0</v>
      </c>
      <c r="J1554" s="16"/>
    </row>
    <row r="1555" spans="1:10" ht="30.75" thickBot="1" x14ac:dyDescent="0.3">
      <c r="A1555" s="4">
        <v>1554</v>
      </c>
      <c r="B1555" s="5" t="s">
        <v>12</v>
      </c>
      <c r="C1555" s="5" t="s">
        <v>1283</v>
      </c>
      <c r="D1555" s="6">
        <v>45012</v>
      </c>
      <c r="E1555" s="20">
        <v>664</v>
      </c>
      <c r="F1555" s="7">
        <v>0</v>
      </c>
      <c r="J1555" s="16"/>
    </row>
    <row r="1556" spans="1:10" ht="30.75" thickBot="1" x14ac:dyDescent="0.3">
      <c r="A1556" s="8">
        <v>1555</v>
      </c>
      <c r="B1556" s="9" t="s">
        <v>14</v>
      </c>
      <c r="C1556" s="9" t="s">
        <v>1284</v>
      </c>
      <c r="D1556" s="10">
        <v>44986</v>
      </c>
      <c r="E1556" s="21">
        <v>916</v>
      </c>
      <c r="F1556" s="11">
        <v>0</v>
      </c>
      <c r="J1556" s="16"/>
    </row>
    <row r="1557" spans="1:10" ht="30.75" thickBot="1" x14ac:dyDescent="0.3">
      <c r="A1557" s="8">
        <v>1556</v>
      </c>
      <c r="B1557" s="9" t="s">
        <v>16</v>
      </c>
      <c r="C1557" s="9" t="s">
        <v>1285</v>
      </c>
      <c r="D1557" s="10">
        <v>44713</v>
      </c>
      <c r="E1557" s="21">
        <v>959</v>
      </c>
      <c r="F1557" s="11">
        <v>0</v>
      </c>
      <c r="J1557" s="16"/>
    </row>
    <row r="1558" spans="1:10" ht="15.75" thickBot="1" x14ac:dyDescent="0.3">
      <c r="A1558" s="4">
        <v>1557</v>
      </c>
      <c r="B1558" s="5" t="s">
        <v>18</v>
      </c>
      <c r="C1558" s="5" t="s">
        <v>1286</v>
      </c>
      <c r="D1558" s="6">
        <v>44695</v>
      </c>
      <c r="E1558" s="20">
        <v>718</v>
      </c>
      <c r="F1558" s="7">
        <v>0</v>
      </c>
      <c r="J1558" s="16"/>
    </row>
    <row r="1559" spans="1:10" ht="15.75" thickBot="1" x14ac:dyDescent="0.3">
      <c r="A1559" s="4">
        <v>1558</v>
      </c>
      <c r="B1559" s="5" t="s">
        <v>20</v>
      </c>
      <c r="C1559" s="5" t="s">
        <v>1287</v>
      </c>
      <c r="D1559" s="6">
        <v>44868</v>
      </c>
      <c r="E1559" s="20">
        <v>724</v>
      </c>
      <c r="F1559" s="7">
        <v>0</v>
      </c>
      <c r="J1559" s="16"/>
    </row>
    <row r="1560" spans="1:10" ht="30.75" thickBot="1" x14ac:dyDescent="0.3">
      <c r="A1560" s="8">
        <v>1559</v>
      </c>
      <c r="B1560" s="9" t="s">
        <v>22</v>
      </c>
      <c r="C1560" s="9" t="s">
        <v>1288</v>
      </c>
      <c r="D1560" s="10">
        <v>44930</v>
      </c>
      <c r="E1560" s="21">
        <v>635</v>
      </c>
      <c r="F1560" s="11">
        <v>0</v>
      </c>
      <c r="J1560" s="16"/>
    </row>
    <row r="1561" spans="1:10" ht="30.75" thickBot="1" x14ac:dyDescent="0.3">
      <c r="A1561" s="8">
        <v>1560</v>
      </c>
      <c r="B1561" s="9" t="s">
        <v>24</v>
      </c>
      <c r="C1561" s="9" t="s">
        <v>1289</v>
      </c>
      <c r="D1561" s="10">
        <v>44895</v>
      </c>
      <c r="E1561" s="21">
        <v>647</v>
      </c>
      <c r="F1561" s="11">
        <v>0</v>
      </c>
      <c r="J1561" s="16"/>
    </row>
    <row r="1562" spans="1:10" ht="30.75" thickBot="1" x14ac:dyDescent="0.3">
      <c r="A1562" s="4">
        <v>1561</v>
      </c>
      <c r="B1562" s="5" t="s">
        <v>6</v>
      </c>
      <c r="C1562" s="5" t="s">
        <v>1290</v>
      </c>
      <c r="D1562" s="6">
        <v>44825</v>
      </c>
      <c r="E1562" s="20">
        <v>733</v>
      </c>
      <c r="F1562" s="7">
        <v>0</v>
      </c>
      <c r="J1562" s="16"/>
    </row>
    <row r="1563" spans="1:10" ht="15.75" thickBot="1" x14ac:dyDescent="0.3">
      <c r="A1563" s="4">
        <v>1562</v>
      </c>
      <c r="B1563" s="5" t="s">
        <v>8</v>
      </c>
      <c r="C1563" s="5" t="s">
        <v>1291</v>
      </c>
      <c r="D1563" s="6">
        <v>44625</v>
      </c>
      <c r="E1563" s="20">
        <v>465</v>
      </c>
      <c r="F1563" s="7">
        <v>0</v>
      </c>
      <c r="J1563" s="16"/>
    </row>
    <row r="1564" spans="1:10" ht="30.75" thickBot="1" x14ac:dyDescent="0.3">
      <c r="A1564" s="8">
        <v>1563</v>
      </c>
      <c r="B1564" s="9" t="s">
        <v>10</v>
      </c>
      <c r="C1564" s="9" t="s">
        <v>1292</v>
      </c>
      <c r="D1564" s="10">
        <v>44748</v>
      </c>
      <c r="E1564" s="21">
        <v>657</v>
      </c>
      <c r="F1564" s="11">
        <v>0</v>
      </c>
      <c r="J1564" s="16"/>
    </row>
    <row r="1565" spans="1:10" ht="30.75" thickBot="1" x14ac:dyDescent="0.3">
      <c r="A1565" s="8">
        <v>1564</v>
      </c>
      <c r="B1565" s="9" t="s">
        <v>12</v>
      </c>
      <c r="C1565" s="9" t="s">
        <v>1293</v>
      </c>
      <c r="D1565" s="10">
        <v>44905</v>
      </c>
      <c r="E1565" s="21">
        <v>827</v>
      </c>
      <c r="F1565" s="11">
        <v>0</v>
      </c>
      <c r="J1565" s="16"/>
    </row>
    <row r="1566" spans="1:10" ht="30.75" thickBot="1" x14ac:dyDescent="0.3">
      <c r="A1566" s="4">
        <v>1565</v>
      </c>
      <c r="B1566" s="5" t="s">
        <v>14</v>
      </c>
      <c r="C1566" s="5" t="s">
        <v>1294</v>
      </c>
      <c r="D1566" s="6">
        <v>44974</v>
      </c>
      <c r="E1566" s="20">
        <v>549</v>
      </c>
      <c r="F1566" s="7">
        <v>0</v>
      </c>
      <c r="J1566" s="16"/>
    </row>
    <row r="1567" spans="1:10" ht="30.75" thickBot="1" x14ac:dyDescent="0.3">
      <c r="A1567" s="4">
        <v>1566</v>
      </c>
      <c r="B1567" s="5" t="s">
        <v>16</v>
      </c>
      <c r="C1567" s="5" t="s">
        <v>1295</v>
      </c>
      <c r="D1567" s="6">
        <v>44938</v>
      </c>
      <c r="E1567" s="20">
        <v>979</v>
      </c>
      <c r="F1567" s="7">
        <v>0</v>
      </c>
      <c r="J1567" s="16"/>
    </row>
    <row r="1568" spans="1:10" ht="15.75" thickBot="1" x14ac:dyDescent="0.3">
      <c r="A1568" s="8">
        <v>1567</v>
      </c>
      <c r="B1568" s="9" t="s">
        <v>18</v>
      </c>
      <c r="C1568" s="9" t="s">
        <v>1296</v>
      </c>
      <c r="D1568" s="10">
        <v>44733</v>
      </c>
      <c r="E1568" s="21">
        <v>886</v>
      </c>
      <c r="F1568" s="11">
        <v>0</v>
      </c>
      <c r="J1568" s="16"/>
    </row>
    <row r="1569" spans="1:10" ht="15.75" thickBot="1" x14ac:dyDescent="0.3">
      <c r="A1569" s="8">
        <v>1568</v>
      </c>
      <c r="B1569" s="9" t="s">
        <v>20</v>
      </c>
      <c r="C1569" s="9" t="s">
        <v>1297</v>
      </c>
      <c r="D1569" s="10">
        <v>44967</v>
      </c>
      <c r="E1569" s="21">
        <v>610</v>
      </c>
      <c r="F1569" s="11">
        <v>0</v>
      </c>
      <c r="J1569" s="16"/>
    </row>
    <row r="1570" spans="1:10" ht="30.75" thickBot="1" x14ac:dyDescent="0.3">
      <c r="A1570" s="4">
        <v>1569</v>
      </c>
      <c r="B1570" s="5" t="s">
        <v>22</v>
      </c>
      <c r="C1570" s="5" t="s">
        <v>1298</v>
      </c>
      <c r="D1570" s="6">
        <v>44845</v>
      </c>
      <c r="E1570" s="20">
        <v>528</v>
      </c>
      <c r="F1570" s="7">
        <v>0</v>
      </c>
      <c r="J1570" s="16"/>
    </row>
    <row r="1571" spans="1:10" ht="30.75" thickBot="1" x14ac:dyDescent="0.3">
      <c r="A1571" s="4">
        <v>1570</v>
      </c>
      <c r="B1571" s="5" t="s">
        <v>24</v>
      </c>
      <c r="C1571" s="5" t="s">
        <v>1299</v>
      </c>
      <c r="D1571" s="6">
        <v>44715</v>
      </c>
      <c r="E1571" s="20">
        <v>737</v>
      </c>
      <c r="F1571" s="7">
        <v>0</v>
      </c>
      <c r="J1571" s="16"/>
    </row>
    <row r="1572" spans="1:10" ht="30.75" thickBot="1" x14ac:dyDescent="0.3">
      <c r="A1572" s="8">
        <v>1571</v>
      </c>
      <c r="B1572" s="9" t="s">
        <v>6</v>
      </c>
      <c r="C1572" s="9" t="s">
        <v>1300</v>
      </c>
      <c r="D1572" s="10">
        <v>44929</v>
      </c>
      <c r="E1572" s="21">
        <v>756</v>
      </c>
      <c r="F1572" s="11">
        <v>0</v>
      </c>
      <c r="J1572" s="16"/>
    </row>
    <row r="1573" spans="1:10" ht="15.75" thickBot="1" x14ac:dyDescent="0.3">
      <c r="A1573" s="8">
        <v>1572</v>
      </c>
      <c r="B1573" s="9" t="s">
        <v>8</v>
      </c>
      <c r="C1573" s="9" t="s">
        <v>1301</v>
      </c>
      <c r="D1573" s="10">
        <v>44856</v>
      </c>
      <c r="E1573" s="21">
        <v>432</v>
      </c>
      <c r="F1573" s="11">
        <v>0</v>
      </c>
      <c r="J1573" s="16"/>
    </row>
    <row r="1574" spans="1:10" ht="30.75" thickBot="1" x14ac:dyDescent="0.3">
      <c r="A1574" s="4">
        <v>1573</v>
      </c>
      <c r="B1574" s="5" t="s">
        <v>10</v>
      </c>
      <c r="C1574" s="5" t="s">
        <v>1302</v>
      </c>
      <c r="D1574" s="6">
        <v>44690</v>
      </c>
      <c r="E1574" s="20">
        <v>509</v>
      </c>
      <c r="F1574" s="7">
        <v>0</v>
      </c>
      <c r="J1574" s="16"/>
    </row>
    <row r="1575" spans="1:10" ht="30.75" thickBot="1" x14ac:dyDescent="0.3">
      <c r="A1575" s="4">
        <v>1574</v>
      </c>
      <c r="B1575" s="5" t="s">
        <v>12</v>
      </c>
      <c r="C1575" s="5" t="s">
        <v>1303</v>
      </c>
      <c r="D1575" s="6">
        <v>44930</v>
      </c>
      <c r="E1575" s="20">
        <v>834</v>
      </c>
      <c r="F1575" s="7">
        <v>0</v>
      </c>
      <c r="J1575" s="16"/>
    </row>
    <row r="1576" spans="1:10" ht="30.75" thickBot="1" x14ac:dyDescent="0.3">
      <c r="A1576" s="8">
        <v>1575</v>
      </c>
      <c r="B1576" s="9" t="s">
        <v>14</v>
      </c>
      <c r="C1576" s="9" t="s">
        <v>1304</v>
      </c>
      <c r="D1576" s="10">
        <v>44618</v>
      </c>
      <c r="E1576" s="21">
        <v>447</v>
      </c>
      <c r="F1576" s="11">
        <v>0</v>
      </c>
      <c r="J1576" s="16"/>
    </row>
    <row r="1577" spans="1:10" ht="30.75" thickBot="1" x14ac:dyDescent="0.3">
      <c r="A1577" s="8">
        <v>1576</v>
      </c>
      <c r="B1577" s="9" t="s">
        <v>16</v>
      </c>
      <c r="C1577" s="9" t="s">
        <v>1305</v>
      </c>
      <c r="D1577" s="10">
        <v>44798</v>
      </c>
      <c r="E1577" s="21">
        <v>806</v>
      </c>
      <c r="F1577" s="11">
        <v>0</v>
      </c>
      <c r="J1577" s="16"/>
    </row>
    <row r="1578" spans="1:10" ht="15.75" thickBot="1" x14ac:dyDescent="0.3">
      <c r="A1578" s="4">
        <v>1577</v>
      </c>
      <c r="B1578" s="5" t="s">
        <v>18</v>
      </c>
      <c r="C1578" s="5" t="s">
        <v>1306</v>
      </c>
      <c r="D1578" s="6">
        <v>44664</v>
      </c>
      <c r="E1578" s="20">
        <v>599</v>
      </c>
      <c r="F1578" s="7">
        <v>0</v>
      </c>
      <c r="J1578" s="16"/>
    </row>
    <row r="1579" spans="1:10" ht="15.75" thickBot="1" x14ac:dyDescent="0.3">
      <c r="A1579" s="4">
        <v>1578</v>
      </c>
      <c r="B1579" s="5" t="s">
        <v>20</v>
      </c>
      <c r="C1579" s="5" t="s">
        <v>1307</v>
      </c>
      <c r="D1579" s="6">
        <v>44811</v>
      </c>
      <c r="E1579" s="20">
        <v>784</v>
      </c>
      <c r="F1579" s="7">
        <v>0</v>
      </c>
      <c r="J1579" s="16"/>
    </row>
    <row r="1580" spans="1:10" ht="30.75" thickBot="1" x14ac:dyDescent="0.3">
      <c r="A1580" s="8">
        <v>1579</v>
      </c>
      <c r="B1580" s="9" t="s">
        <v>22</v>
      </c>
      <c r="C1580" s="9" t="s">
        <v>1308</v>
      </c>
      <c r="D1580" s="10">
        <v>44772</v>
      </c>
      <c r="E1580" s="21">
        <v>694</v>
      </c>
      <c r="F1580" s="11">
        <v>0</v>
      </c>
      <c r="J1580" s="16"/>
    </row>
    <row r="1581" spans="1:10" ht="30.75" thickBot="1" x14ac:dyDescent="0.3">
      <c r="A1581" s="8">
        <v>1580</v>
      </c>
      <c r="B1581" s="9" t="s">
        <v>24</v>
      </c>
      <c r="C1581" s="9" t="s">
        <v>1309</v>
      </c>
      <c r="D1581" s="10">
        <v>44939</v>
      </c>
      <c r="E1581" s="21">
        <v>937</v>
      </c>
      <c r="F1581" s="11">
        <v>0</v>
      </c>
      <c r="J1581" s="16"/>
    </row>
    <row r="1582" spans="1:10" ht="30.75" thickBot="1" x14ac:dyDescent="0.3">
      <c r="A1582" s="4">
        <v>1581</v>
      </c>
      <c r="B1582" s="5" t="s">
        <v>6</v>
      </c>
      <c r="C1582" s="5" t="s">
        <v>1310</v>
      </c>
      <c r="D1582" s="6">
        <v>44960</v>
      </c>
      <c r="E1582" s="20">
        <v>881</v>
      </c>
      <c r="F1582" s="7">
        <v>0</v>
      </c>
      <c r="J1582" s="16"/>
    </row>
    <row r="1583" spans="1:10" ht="15.75" thickBot="1" x14ac:dyDescent="0.3">
      <c r="A1583" s="4">
        <v>1582</v>
      </c>
      <c r="B1583" s="5" t="s">
        <v>8</v>
      </c>
      <c r="C1583" s="5" t="s">
        <v>1311</v>
      </c>
      <c r="D1583" s="6">
        <v>44649</v>
      </c>
      <c r="E1583" s="20">
        <v>537</v>
      </c>
      <c r="F1583" s="7">
        <v>0</v>
      </c>
      <c r="J1583" s="16"/>
    </row>
    <row r="1584" spans="1:10" ht="30.75" thickBot="1" x14ac:dyDescent="0.3">
      <c r="A1584" s="8">
        <v>1583</v>
      </c>
      <c r="B1584" s="9" t="s">
        <v>10</v>
      </c>
      <c r="C1584" s="9" t="s">
        <v>1312</v>
      </c>
      <c r="D1584" s="10">
        <v>44751</v>
      </c>
      <c r="E1584" s="21">
        <v>922</v>
      </c>
      <c r="F1584" s="11">
        <v>0</v>
      </c>
      <c r="J1584" s="16"/>
    </row>
    <row r="1585" spans="1:10" ht="30.75" thickBot="1" x14ac:dyDescent="0.3">
      <c r="A1585" s="8">
        <v>1584</v>
      </c>
      <c r="B1585" s="9" t="s">
        <v>12</v>
      </c>
      <c r="C1585" s="9" t="s">
        <v>1313</v>
      </c>
      <c r="D1585" s="10">
        <v>44672</v>
      </c>
      <c r="E1585" s="21">
        <v>883</v>
      </c>
      <c r="F1585" s="11">
        <v>0</v>
      </c>
      <c r="J1585" s="16"/>
    </row>
    <row r="1586" spans="1:10" ht="30.75" thickBot="1" x14ac:dyDescent="0.3">
      <c r="A1586" s="4">
        <v>1585</v>
      </c>
      <c r="B1586" s="5" t="s">
        <v>14</v>
      </c>
      <c r="C1586" s="5" t="s">
        <v>1314</v>
      </c>
      <c r="D1586" s="6">
        <v>44645</v>
      </c>
      <c r="E1586" s="20">
        <v>672</v>
      </c>
      <c r="F1586" s="7">
        <v>0</v>
      </c>
      <c r="J1586" s="16"/>
    </row>
    <row r="1587" spans="1:10" ht="30.75" thickBot="1" x14ac:dyDescent="0.3">
      <c r="A1587" s="4">
        <v>1586</v>
      </c>
      <c r="B1587" s="5" t="s">
        <v>16</v>
      </c>
      <c r="C1587" s="5" t="s">
        <v>1315</v>
      </c>
      <c r="D1587" s="6">
        <v>44726</v>
      </c>
      <c r="E1587" s="20">
        <v>940</v>
      </c>
      <c r="F1587" s="7">
        <v>0</v>
      </c>
      <c r="J1587" s="16"/>
    </row>
    <row r="1588" spans="1:10" ht="15.75" thickBot="1" x14ac:dyDescent="0.3">
      <c r="A1588" s="8">
        <v>1587</v>
      </c>
      <c r="B1588" s="9" t="s">
        <v>18</v>
      </c>
      <c r="C1588" s="9" t="s">
        <v>1316</v>
      </c>
      <c r="D1588" s="10">
        <v>44987</v>
      </c>
      <c r="E1588" s="21">
        <v>864</v>
      </c>
      <c r="F1588" s="11">
        <v>0</v>
      </c>
      <c r="J1588" s="16"/>
    </row>
    <row r="1589" spans="1:10" ht="15.75" thickBot="1" x14ac:dyDescent="0.3">
      <c r="A1589" s="8">
        <v>1588</v>
      </c>
      <c r="B1589" s="9" t="s">
        <v>20</v>
      </c>
      <c r="C1589" s="9" t="s">
        <v>1317</v>
      </c>
      <c r="D1589" s="10">
        <v>44743</v>
      </c>
      <c r="E1589" s="21">
        <v>576</v>
      </c>
      <c r="F1589" s="11">
        <v>0</v>
      </c>
      <c r="J1589" s="16"/>
    </row>
    <row r="1590" spans="1:10" ht="30.75" thickBot="1" x14ac:dyDescent="0.3">
      <c r="A1590" s="4">
        <v>1589</v>
      </c>
      <c r="B1590" s="5" t="s">
        <v>22</v>
      </c>
      <c r="C1590" s="5" t="s">
        <v>1318</v>
      </c>
      <c r="D1590" s="6">
        <v>44916</v>
      </c>
      <c r="E1590" s="20">
        <v>428</v>
      </c>
      <c r="F1590" s="7">
        <v>0</v>
      </c>
      <c r="J1590" s="16"/>
    </row>
    <row r="1591" spans="1:10" ht="30.75" thickBot="1" x14ac:dyDescent="0.3">
      <c r="A1591" s="4">
        <v>1590</v>
      </c>
      <c r="B1591" s="5" t="s">
        <v>24</v>
      </c>
      <c r="C1591" s="5" t="s">
        <v>1319</v>
      </c>
      <c r="D1591" s="6">
        <v>44839</v>
      </c>
      <c r="E1591" s="20">
        <v>464</v>
      </c>
      <c r="F1591" s="7">
        <v>0</v>
      </c>
      <c r="J1591" s="16"/>
    </row>
    <row r="1592" spans="1:10" ht="30.75" thickBot="1" x14ac:dyDescent="0.3">
      <c r="A1592" s="8">
        <v>1591</v>
      </c>
      <c r="B1592" s="9" t="s">
        <v>6</v>
      </c>
      <c r="C1592" s="9" t="s">
        <v>1320</v>
      </c>
      <c r="D1592" s="10">
        <v>44834</v>
      </c>
      <c r="E1592" s="21">
        <v>703</v>
      </c>
      <c r="F1592" s="11">
        <v>0</v>
      </c>
      <c r="J1592" s="16"/>
    </row>
    <row r="1593" spans="1:10" ht="15.75" thickBot="1" x14ac:dyDescent="0.3">
      <c r="A1593" s="8">
        <v>1592</v>
      </c>
      <c r="B1593" s="9" t="s">
        <v>8</v>
      </c>
      <c r="C1593" s="9" t="s">
        <v>1321</v>
      </c>
      <c r="D1593" s="10">
        <v>44777</v>
      </c>
      <c r="E1593" s="21">
        <v>482</v>
      </c>
      <c r="F1593" s="11">
        <v>0</v>
      </c>
      <c r="J1593" s="16"/>
    </row>
    <row r="1594" spans="1:10" ht="30.75" thickBot="1" x14ac:dyDescent="0.3">
      <c r="A1594" s="4">
        <v>1593</v>
      </c>
      <c r="B1594" s="5" t="s">
        <v>10</v>
      </c>
      <c r="C1594" s="5" t="s">
        <v>1322</v>
      </c>
      <c r="D1594" s="6">
        <v>44952</v>
      </c>
      <c r="E1594" s="20">
        <v>422</v>
      </c>
      <c r="F1594" s="7">
        <v>0</v>
      </c>
      <c r="J1594" s="16"/>
    </row>
    <row r="1595" spans="1:10" ht="30.75" thickBot="1" x14ac:dyDescent="0.3">
      <c r="A1595" s="4">
        <v>1594</v>
      </c>
      <c r="B1595" s="5" t="s">
        <v>12</v>
      </c>
      <c r="C1595" s="5" t="s">
        <v>1323</v>
      </c>
      <c r="D1595" s="6">
        <v>44783</v>
      </c>
      <c r="E1595" s="20">
        <v>755</v>
      </c>
      <c r="F1595" s="7">
        <v>0</v>
      </c>
      <c r="J1595" s="16"/>
    </row>
    <row r="1596" spans="1:10" ht="30.75" thickBot="1" x14ac:dyDescent="0.3">
      <c r="A1596" s="8">
        <v>1595</v>
      </c>
      <c r="B1596" s="9" t="s">
        <v>14</v>
      </c>
      <c r="C1596" s="9" t="s">
        <v>1324</v>
      </c>
      <c r="D1596" s="10">
        <v>44797</v>
      </c>
      <c r="E1596" s="21">
        <v>827</v>
      </c>
      <c r="F1596" s="11">
        <v>0</v>
      </c>
      <c r="J1596" s="16"/>
    </row>
    <row r="1597" spans="1:10" ht="30.75" thickBot="1" x14ac:dyDescent="0.3">
      <c r="A1597" s="8">
        <v>1596</v>
      </c>
      <c r="B1597" s="9" t="s">
        <v>16</v>
      </c>
      <c r="C1597" s="9" t="s">
        <v>1325</v>
      </c>
      <c r="D1597" s="10">
        <v>44598</v>
      </c>
      <c r="E1597" s="21">
        <v>509</v>
      </c>
      <c r="F1597" s="11">
        <v>0</v>
      </c>
      <c r="J1597" s="16"/>
    </row>
    <row r="1598" spans="1:10" ht="15.75" thickBot="1" x14ac:dyDescent="0.3">
      <c r="A1598" s="4">
        <v>1597</v>
      </c>
      <c r="B1598" s="5" t="s">
        <v>18</v>
      </c>
      <c r="C1598" s="5" t="s">
        <v>1326</v>
      </c>
      <c r="D1598" s="6">
        <v>44922</v>
      </c>
      <c r="E1598" s="20">
        <v>576</v>
      </c>
      <c r="F1598" s="7">
        <v>0</v>
      </c>
      <c r="J1598" s="16"/>
    </row>
    <row r="1599" spans="1:10" ht="15.75" thickBot="1" x14ac:dyDescent="0.3">
      <c r="A1599" s="4">
        <v>1598</v>
      </c>
      <c r="B1599" s="5" t="s">
        <v>20</v>
      </c>
      <c r="C1599" s="5" t="s">
        <v>1327</v>
      </c>
      <c r="D1599" s="6">
        <v>44890</v>
      </c>
      <c r="E1599" s="20">
        <v>704</v>
      </c>
      <c r="F1599" s="7">
        <v>0</v>
      </c>
      <c r="J1599" s="16"/>
    </row>
    <row r="1600" spans="1:10" ht="30.75" thickBot="1" x14ac:dyDescent="0.3">
      <c r="A1600" s="8">
        <v>1599</v>
      </c>
      <c r="B1600" s="9" t="s">
        <v>22</v>
      </c>
      <c r="C1600" s="9" t="s">
        <v>1328</v>
      </c>
      <c r="D1600" s="10">
        <v>44674</v>
      </c>
      <c r="E1600" s="21">
        <v>659</v>
      </c>
      <c r="F1600" s="11">
        <v>0</v>
      </c>
      <c r="J1600" s="16"/>
    </row>
    <row r="1601" spans="1:10" ht="30.75" thickBot="1" x14ac:dyDescent="0.3">
      <c r="A1601" s="8">
        <v>1600</v>
      </c>
      <c r="B1601" s="9" t="s">
        <v>24</v>
      </c>
      <c r="C1601" s="9" t="s">
        <v>1329</v>
      </c>
      <c r="D1601" s="10">
        <v>44922</v>
      </c>
      <c r="E1601" s="21">
        <v>509</v>
      </c>
      <c r="F1601" s="11">
        <v>0</v>
      </c>
      <c r="J1601" s="16"/>
    </row>
    <row r="1602" spans="1:10" ht="30.75" thickBot="1" x14ac:dyDescent="0.3">
      <c r="A1602" s="4">
        <v>1601</v>
      </c>
      <c r="B1602" s="5" t="s">
        <v>6</v>
      </c>
      <c r="C1602" s="5" t="s">
        <v>1330</v>
      </c>
      <c r="D1602" s="6">
        <v>44771</v>
      </c>
      <c r="E1602" s="20">
        <v>918</v>
      </c>
      <c r="F1602" s="7">
        <v>0</v>
      </c>
      <c r="J1602" s="16"/>
    </row>
    <row r="1603" spans="1:10" ht="15.75" thickBot="1" x14ac:dyDescent="0.3">
      <c r="A1603" s="4">
        <v>1602</v>
      </c>
      <c r="B1603" s="5" t="s">
        <v>8</v>
      </c>
      <c r="C1603" s="5" t="s">
        <v>1331</v>
      </c>
      <c r="D1603" s="6">
        <v>44585</v>
      </c>
      <c r="E1603" s="20">
        <v>515</v>
      </c>
      <c r="F1603" s="7">
        <v>0</v>
      </c>
      <c r="J1603" s="16"/>
    </row>
    <row r="1604" spans="1:10" ht="30.75" thickBot="1" x14ac:dyDescent="0.3">
      <c r="A1604" s="8">
        <v>1603</v>
      </c>
      <c r="B1604" s="9" t="s">
        <v>10</v>
      </c>
      <c r="C1604" s="9" t="s">
        <v>1332</v>
      </c>
      <c r="D1604" s="10">
        <v>45017</v>
      </c>
      <c r="E1604" s="21">
        <v>926</v>
      </c>
      <c r="F1604" s="11">
        <v>0</v>
      </c>
      <c r="J1604" s="16"/>
    </row>
    <row r="1605" spans="1:10" ht="30.75" thickBot="1" x14ac:dyDescent="0.3">
      <c r="A1605" s="8">
        <v>1604</v>
      </c>
      <c r="B1605" s="9" t="s">
        <v>12</v>
      </c>
      <c r="C1605" s="9" t="s">
        <v>1333</v>
      </c>
      <c r="D1605" s="10">
        <v>44752</v>
      </c>
      <c r="E1605" s="21">
        <v>605</v>
      </c>
      <c r="F1605" s="11">
        <v>0</v>
      </c>
      <c r="J1605" s="16"/>
    </row>
    <row r="1606" spans="1:10" ht="30.75" thickBot="1" x14ac:dyDescent="0.3">
      <c r="A1606" s="4">
        <v>1605</v>
      </c>
      <c r="B1606" s="5" t="s">
        <v>14</v>
      </c>
      <c r="C1606" s="5" t="s">
        <v>1334</v>
      </c>
      <c r="D1606" s="6">
        <v>44792</v>
      </c>
      <c r="E1606" s="20">
        <v>530</v>
      </c>
      <c r="F1606" s="7">
        <v>0</v>
      </c>
      <c r="J1606" s="16"/>
    </row>
    <row r="1607" spans="1:10" ht="30.75" thickBot="1" x14ac:dyDescent="0.3">
      <c r="A1607" s="4">
        <v>1606</v>
      </c>
      <c r="B1607" s="5" t="s">
        <v>16</v>
      </c>
      <c r="C1607" s="5" t="s">
        <v>1335</v>
      </c>
      <c r="D1607" s="6">
        <v>44660</v>
      </c>
      <c r="E1607" s="20">
        <v>951</v>
      </c>
      <c r="F1607" s="7">
        <v>0</v>
      </c>
      <c r="J1607" s="16"/>
    </row>
    <row r="1608" spans="1:10" ht="15.75" thickBot="1" x14ac:dyDescent="0.3">
      <c r="A1608" s="8">
        <v>1607</v>
      </c>
      <c r="B1608" s="9" t="s">
        <v>18</v>
      </c>
      <c r="C1608" s="9" t="s">
        <v>1336</v>
      </c>
      <c r="D1608" s="10">
        <v>45047</v>
      </c>
      <c r="E1608" s="21">
        <v>858</v>
      </c>
      <c r="F1608" s="11">
        <v>0</v>
      </c>
      <c r="J1608" s="16"/>
    </row>
    <row r="1609" spans="1:10" ht="15.75" thickBot="1" x14ac:dyDescent="0.3">
      <c r="A1609" s="8">
        <v>1608</v>
      </c>
      <c r="B1609" s="9" t="s">
        <v>20</v>
      </c>
      <c r="C1609" s="9" t="s">
        <v>1337</v>
      </c>
      <c r="D1609" s="10">
        <v>44822</v>
      </c>
      <c r="E1609" s="21">
        <v>420</v>
      </c>
      <c r="F1609" s="11">
        <v>0</v>
      </c>
      <c r="J1609" s="16"/>
    </row>
    <row r="1610" spans="1:10" ht="30.75" thickBot="1" x14ac:dyDescent="0.3">
      <c r="A1610" s="4">
        <v>1609</v>
      </c>
      <c r="B1610" s="5" t="s">
        <v>22</v>
      </c>
      <c r="C1610" s="5" t="s">
        <v>1338</v>
      </c>
      <c r="D1610" s="6">
        <v>44637</v>
      </c>
      <c r="E1610" s="20">
        <v>754</v>
      </c>
      <c r="F1610" s="7">
        <v>0</v>
      </c>
      <c r="J1610" s="16"/>
    </row>
    <row r="1611" spans="1:10" ht="30.75" thickBot="1" x14ac:dyDescent="0.3">
      <c r="A1611" s="4">
        <v>1610</v>
      </c>
      <c r="B1611" s="5" t="s">
        <v>24</v>
      </c>
      <c r="C1611" s="5" t="s">
        <v>1339</v>
      </c>
      <c r="D1611" s="6">
        <v>44562</v>
      </c>
      <c r="E1611" s="20">
        <v>836</v>
      </c>
      <c r="F1611" s="7">
        <v>0</v>
      </c>
      <c r="J1611" s="16"/>
    </row>
    <row r="1612" spans="1:10" ht="30.75" thickBot="1" x14ac:dyDescent="0.3">
      <c r="A1612" s="8">
        <v>1611</v>
      </c>
      <c r="B1612" s="9" t="s">
        <v>6</v>
      </c>
      <c r="C1612" s="9" t="s">
        <v>1340</v>
      </c>
      <c r="D1612" s="10">
        <v>44894</v>
      </c>
      <c r="E1612" s="21">
        <v>508</v>
      </c>
      <c r="F1612" s="11">
        <v>0</v>
      </c>
      <c r="J1612" s="16"/>
    </row>
    <row r="1613" spans="1:10" ht="15.75" thickBot="1" x14ac:dyDescent="0.3">
      <c r="A1613" s="8">
        <v>1612</v>
      </c>
      <c r="B1613" s="9" t="s">
        <v>8</v>
      </c>
      <c r="C1613" s="9" t="s">
        <v>1341</v>
      </c>
      <c r="D1613" s="10">
        <v>44961</v>
      </c>
      <c r="E1613" s="21">
        <v>689</v>
      </c>
      <c r="F1613" s="11">
        <v>0</v>
      </c>
      <c r="J1613" s="16"/>
    </row>
    <row r="1614" spans="1:10" ht="30.75" thickBot="1" x14ac:dyDescent="0.3">
      <c r="A1614" s="4">
        <v>1613</v>
      </c>
      <c r="B1614" s="5" t="s">
        <v>10</v>
      </c>
      <c r="C1614" s="5" t="s">
        <v>1342</v>
      </c>
      <c r="D1614" s="6">
        <v>44890</v>
      </c>
      <c r="E1614" s="20">
        <v>976</v>
      </c>
      <c r="F1614" s="7">
        <v>0</v>
      </c>
      <c r="J1614" s="16"/>
    </row>
    <row r="1615" spans="1:10" ht="30.75" thickBot="1" x14ac:dyDescent="0.3">
      <c r="A1615" s="4">
        <v>1614</v>
      </c>
      <c r="B1615" s="5" t="s">
        <v>12</v>
      </c>
      <c r="C1615" s="5" t="s">
        <v>1343</v>
      </c>
      <c r="D1615" s="6">
        <v>44996</v>
      </c>
      <c r="E1615" s="20">
        <v>428</v>
      </c>
      <c r="F1615" s="7">
        <v>0</v>
      </c>
      <c r="J1615" s="16"/>
    </row>
    <row r="1616" spans="1:10" ht="30.75" thickBot="1" x14ac:dyDescent="0.3">
      <c r="A1616" s="8">
        <v>1615</v>
      </c>
      <c r="B1616" s="9" t="s">
        <v>14</v>
      </c>
      <c r="C1616" s="9" t="s">
        <v>1344</v>
      </c>
      <c r="D1616" s="10">
        <v>44726</v>
      </c>
      <c r="E1616" s="21">
        <v>484</v>
      </c>
      <c r="F1616" s="11">
        <v>0</v>
      </c>
      <c r="J1616" s="16"/>
    </row>
    <row r="1617" spans="1:10" ht="30.75" thickBot="1" x14ac:dyDescent="0.3">
      <c r="A1617" s="8">
        <v>1616</v>
      </c>
      <c r="B1617" s="9" t="s">
        <v>16</v>
      </c>
      <c r="C1617" s="9" t="s">
        <v>1345</v>
      </c>
      <c r="D1617" s="10">
        <v>45047</v>
      </c>
      <c r="E1617" s="21">
        <v>987</v>
      </c>
      <c r="F1617" s="11">
        <v>0</v>
      </c>
      <c r="J1617" s="16"/>
    </row>
    <row r="1618" spans="1:10" ht="15.75" thickBot="1" x14ac:dyDescent="0.3">
      <c r="A1618" s="4">
        <v>1617</v>
      </c>
      <c r="B1618" s="5" t="s">
        <v>18</v>
      </c>
      <c r="C1618" s="5" t="s">
        <v>1346</v>
      </c>
      <c r="D1618" s="6">
        <v>44890</v>
      </c>
      <c r="E1618" s="20">
        <v>428</v>
      </c>
      <c r="F1618" s="7">
        <v>0</v>
      </c>
      <c r="J1618" s="16"/>
    </row>
    <row r="1619" spans="1:10" ht="15.75" thickBot="1" x14ac:dyDescent="0.3">
      <c r="A1619" s="4">
        <v>1618</v>
      </c>
      <c r="B1619" s="5" t="s">
        <v>20</v>
      </c>
      <c r="C1619" s="5" t="s">
        <v>1347</v>
      </c>
      <c r="D1619" s="6">
        <v>44800</v>
      </c>
      <c r="E1619" s="20">
        <v>983</v>
      </c>
      <c r="F1619" s="7">
        <v>0</v>
      </c>
      <c r="J1619" s="16"/>
    </row>
    <row r="1620" spans="1:10" ht="30.75" thickBot="1" x14ac:dyDescent="0.3">
      <c r="A1620" s="8">
        <v>1619</v>
      </c>
      <c r="B1620" s="9" t="s">
        <v>22</v>
      </c>
      <c r="C1620" s="9" t="s">
        <v>1348</v>
      </c>
      <c r="D1620" s="10">
        <v>44903</v>
      </c>
      <c r="E1620" s="21">
        <v>626</v>
      </c>
      <c r="F1620" s="11">
        <v>0</v>
      </c>
      <c r="J1620" s="16"/>
    </row>
    <row r="1621" spans="1:10" ht="30.75" thickBot="1" x14ac:dyDescent="0.3">
      <c r="A1621" s="8">
        <v>1620</v>
      </c>
      <c r="B1621" s="9" t="s">
        <v>24</v>
      </c>
      <c r="C1621" s="9" t="s">
        <v>1349</v>
      </c>
      <c r="D1621" s="10">
        <v>44900</v>
      </c>
      <c r="E1621" s="21">
        <v>907</v>
      </c>
      <c r="F1621" s="11">
        <v>0</v>
      </c>
      <c r="J1621" s="16"/>
    </row>
    <row r="1622" spans="1:10" ht="30.75" thickBot="1" x14ac:dyDescent="0.3">
      <c r="A1622" s="4">
        <v>1621</v>
      </c>
      <c r="B1622" s="5" t="s">
        <v>6</v>
      </c>
      <c r="C1622" s="5" t="s">
        <v>1350</v>
      </c>
      <c r="D1622" s="6">
        <v>44753</v>
      </c>
      <c r="E1622" s="20">
        <v>955</v>
      </c>
      <c r="F1622" s="7">
        <v>0</v>
      </c>
      <c r="J1622" s="16"/>
    </row>
    <row r="1623" spans="1:10" ht="15.75" thickBot="1" x14ac:dyDescent="0.3">
      <c r="A1623" s="4">
        <v>1622</v>
      </c>
      <c r="B1623" s="5" t="s">
        <v>8</v>
      </c>
      <c r="C1623" s="5" t="s">
        <v>1351</v>
      </c>
      <c r="D1623" s="6">
        <v>44793</v>
      </c>
      <c r="E1623" s="20">
        <v>862</v>
      </c>
      <c r="F1623" s="7">
        <v>0</v>
      </c>
      <c r="J1623" s="16"/>
    </row>
    <row r="1624" spans="1:10" ht="30.75" thickBot="1" x14ac:dyDescent="0.3">
      <c r="A1624" s="8">
        <v>1623</v>
      </c>
      <c r="B1624" s="9" t="s">
        <v>10</v>
      </c>
      <c r="C1624" s="9" t="s">
        <v>1352</v>
      </c>
      <c r="D1624" s="10">
        <v>44732</v>
      </c>
      <c r="E1624" s="21">
        <v>489</v>
      </c>
      <c r="F1624" s="11">
        <v>0</v>
      </c>
      <c r="J1624" s="16"/>
    </row>
    <row r="1625" spans="1:10" ht="30.75" thickBot="1" x14ac:dyDescent="0.3">
      <c r="A1625" s="8">
        <v>1624</v>
      </c>
      <c r="B1625" s="9" t="s">
        <v>12</v>
      </c>
      <c r="C1625" s="9" t="s">
        <v>1353</v>
      </c>
      <c r="D1625" s="10">
        <v>44939</v>
      </c>
      <c r="E1625" s="21">
        <v>568</v>
      </c>
      <c r="F1625" s="11">
        <v>0</v>
      </c>
      <c r="J1625" s="16"/>
    </row>
    <row r="1626" spans="1:10" ht="30.75" thickBot="1" x14ac:dyDescent="0.3">
      <c r="A1626" s="4">
        <v>1625</v>
      </c>
      <c r="B1626" s="5" t="s">
        <v>14</v>
      </c>
      <c r="C1626" s="5" t="s">
        <v>1354</v>
      </c>
      <c r="D1626" s="6">
        <v>44891</v>
      </c>
      <c r="E1626" s="20">
        <v>468</v>
      </c>
      <c r="F1626" s="7">
        <v>0</v>
      </c>
      <c r="J1626" s="16"/>
    </row>
    <row r="1627" spans="1:10" ht="30.75" thickBot="1" x14ac:dyDescent="0.3">
      <c r="A1627" s="4">
        <v>1626</v>
      </c>
      <c r="B1627" s="5" t="s">
        <v>16</v>
      </c>
      <c r="C1627" s="5" t="s">
        <v>1355</v>
      </c>
      <c r="D1627" s="6">
        <v>44902</v>
      </c>
      <c r="E1627" s="20">
        <v>444</v>
      </c>
      <c r="F1627" s="7">
        <v>0</v>
      </c>
      <c r="J1627" s="16"/>
    </row>
    <row r="1628" spans="1:10" ht="15.75" thickBot="1" x14ac:dyDescent="0.3">
      <c r="A1628" s="8">
        <v>1627</v>
      </c>
      <c r="B1628" s="9" t="s">
        <v>18</v>
      </c>
      <c r="C1628" s="9" t="s">
        <v>1356</v>
      </c>
      <c r="D1628" s="10">
        <v>44772</v>
      </c>
      <c r="E1628" s="21">
        <v>530</v>
      </c>
      <c r="F1628" s="11">
        <v>0</v>
      </c>
      <c r="J1628" s="16"/>
    </row>
    <row r="1629" spans="1:10" ht="15.75" thickBot="1" x14ac:dyDescent="0.3">
      <c r="A1629" s="8">
        <v>1628</v>
      </c>
      <c r="B1629" s="9" t="s">
        <v>20</v>
      </c>
      <c r="C1629" s="9" t="s">
        <v>1357</v>
      </c>
      <c r="D1629" s="10">
        <v>44983</v>
      </c>
      <c r="E1629" s="21">
        <v>888</v>
      </c>
      <c r="F1629" s="11">
        <v>0</v>
      </c>
      <c r="J1629" s="16"/>
    </row>
    <row r="1630" spans="1:10" ht="30.75" thickBot="1" x14ac:dyDescent="0.3">
      <c r="A1630" s="4">
        <v>1629</v>
      </c>
      <c r="B1630" s="5" t="s">
        <v>22</v>
      </c>
      <c r="C1630" s="5" t="s">
        <v>1358</v>
      </c>
      <c r="D1630" s="6">
        <v>44900</v>
      </c>
      <c r="E1630" s="20">
        <v>564</v>
      </c>
      <c r="F1630" s="7">
        <v>0</v>
      </c>
      <c r="J1630" s="16"/>
    </row>
    <row r="1631" spans="1:10" ht="30.75" thickBot="1" x14ac:dyDescent="0.3">
      <c r="A1631" s="4">
        <v>1630</v>
      </c>
      <c r="B1631" s="5" t="s">
        <v>24</v>
      </c>
      <c r="C1631" s="5" t="s">
        <v>1359</v>
      </c>
      <c r="D1631" s="6">
        <v>44977</v>
      </c>
      <c r="E1631" s="20">
        <v>499</v>
      </c>
      <c r="F1631" s="7">
        <v>0</v>
      </c>
      <c r="J1631" s="16"/>
    </row>
    <row r="1632" spans="1:10" ht="30.75" thickBot="1" x14ac:dyDescent="0.3">
      <c r="A1632" s="8">
        <v>1631</v>
      </c>
      <c r="B1632" s="9" t="s">
        <v>6</v>
      </c>
      <c r="C1632" s="9" t="s">
        <v>1360</v>
      </c>
      <c r="D1632" s="10">
        <v>44762</v>
      </c>
      <c r="E1632" s="21">
        <v>947</v>
      </c>
      <c r="F1632" s="11">
        <v>0</v>
      </c>
      <c r="J1632" s="16"/>
    </row>
    <row r="1633" spans="1:10" ht="15.75" thickBot="1" x14ac:dyDescent="0.3">
      <c r="A1633" s="8">
        <v>1632</v>
      </c>
      <c r="B1633" s="9" t="s">
        <v>8</v>
      </c>
      <c r="C1633" s="9" t="s">
        <v>1361</v>
      </c>
      <c r="D1633" s="10">
        <v>45011</v>
      </c>
      <c r="E1633" s="21">
        <v>561</v>
      </c>
      <c r="F1633" s="11">
        <v>0</v>
      </c>
      <c r="J1633" s="16"/>
    </row>
    <row r="1634" spans="1:10" ht="30.75" thickBot="1" x14ac:dyDescent="0.3">
      <c r="A1634" s="4">
        <v>1633</v>
      </c>
      <c r="B1634" s="5" t="s">
        <v>10</v>
      </c>
      <c r="C1634" s="5" t="s">
        <v>1362</v>
      </c>
      <c r="D1634" s="6">
        <v>45015</v>
      </c>
      <c r="E1634" s="20">
        <v>922</v>
      </c>
      <c r="F1634" s="7">
        <v>0</v>
      </c>
      <c r="J1634" s="16"/>
    </row>
    <row r="1635" spans="1:10" ht="30.75" thickBot="1" x14ac:dyDescent="0.3">
      <c r="A1635" s="4">
        <v>1634</v>
      </c>
      <c r="B1635" s="5" t="s">
        <v>12</v>
      </c>
      <c r="C1635" s="5" t="s">
        <v>1363</v>
      </c>
      <c r="D1635" s="6">
        <v>44816</v>
      </c>
      <c r="E1635" s="20">
        <v>413</v>
      </c>
      <c r="F1635" s="7">
        <v>0</v>
      </c>
      <c r="J1635" s="16"/>
    </row>
    <row r="1636" spans="1:10" ht="30.75" thickBot="1" x14ac:dyDescent="0.3">
      <c r="A1636" s="8">
        <v>1635</v>
      </c>
      <c r="B1636" s="9" t="s">
        <v>14</v>
      </c>
      <c r="C1636" s="9" t="s">
        <v>1364</v>
      </c>
      <c r="D1636" s="10">
        <v>44655</v>
      </c>
      <c r="E1636" s="21">
        <v>648</v>
      </c>
      <c r="F1636" s="11">
        <v>0</v>
      </c>
      <c r="J1636" s="16"/>
    </row>
    <row r="1637" spans="1:10" ht="30.75" thickBot="1" x14ac:dyDescent="0.3">
      <c r="A1637" s="8">
        <v>1636</v>
      </c>
      <c r="B1637" s="9" t="s">
        <v>16</v>
      </c>
      <c r="C1637" s="9" t="s">
        <v>1365</v>
      </c>
      <c r="D1637" s="10">
        <v>44933</v>
      </c>
      <c r="E1637" s="21">
        <v>542</v>
      </c>
      <c r="F1637" s="11">
        <v>0</v>
      </c>
      <c r="J1637" s="16"/>
    </row>
    <row r="1638" spans="1:10" ht="15.75" thickBot="1" x14ac:dyDescent="0.3">
      <c r="A1638" s="4">
        <v>1637</v>
      </c>
      <c r="B1638" s="5" t="s">
        <v>18</v>
      </c>
      <c r="C1638" s="5" t="s">
        <v>1366</v>
      </c>
      <c r="D1638" s="6">
        <v>44963</v>
      </c>
      <c r="E1638" s="20">
        <v>940</v>
      </c>
      <c r="F1638" s="7">
        <v>0</v>
      </c>
      <c r="J1638" s="16"/>
    </row>
    <row r="1639" spans="1:10" ht="15.75" thickBot="1" x14ac:dyDescent="0.3">
      <c r="A1639" s="4">
        <v>1638</v>
      </c>
      <c r="B1639" s="5" t="s">
        <v>20</v>
      </c>
      <c r="C1639" s="5" t="s">
        <v>1367</v>
      </c>
      <c r="D1639" s="6">
        <v>44818</v>
      </c>
      <c r="E1639" s="20">
        <v>932</v>
      </c>
      <c r="F1639" s="7">
        <v>0</v>
      </c>
      <c r="J1639" s="16"/>
    </row>
    <row r="1640" spans="1:10" ht="30.75" thickBot="1" x14ac:dyDescent="0.3">
      <c r="A1640" s="8">
        <v>1639</v>
      </c>
      <c r="B1640" s="9" t="s">
        <v>22</v>
      </c>
      <c r="C1640" s="9" t="s">
        <v>1368</v>
      </c>
      <c r="D1640" s="10">
        <v>44893</v>
      </c>
      <c r="E1640" s="21">
        <v>758</v>
      </c>
      <c r="F1640" s="11">
        <v>0</v>
      </c>
      <c r="J1640" s="16"/>
    </row>
    <row r="1641" spans="1:10" ht="30.75" thickBot="1" x14ac:dyDescent="0.3">
      <c r="A1641" s="8">
        <v>1640</v>
      </c>
      <c r="B1641" s="9" t="s">
        <v>24</v>
      </c>
      <c r="C1641" s="9" t="s">
        <v>1369</v>
      </c>
      <c r="D1641" s="10">
        <v>44728</v>
      </c>
      <c r="E1641" s="21">
        <v>409</v>
      </c>
      <c r="F1641" s="11">
        <v>0</v>
      </c>
      <c r="J1641" s="16"/>
    </row>
    <row r="1642" spans="1:10" ht="30.75" thickBot="1" x14ac:dyDescent="0.3">
      <c r="A1642" s="4">
        <v>1641</v>
      </c>
      <c r="B1642" s="5" t="s">
        <v>6</v>
      </c>
      <c r="C1642" s="5" t="s">
        <v>1370</v>
      </c>
      <c r="D1642" s="6">
        <v>44794</v>
      </c>
      <c r="E1642" s="20">
        <v>402</v>
      </c>
      <c r="F1642" s="7">
        <v>0</v>
      </c>
      <c r="J1642" s="16"/>
    </row>
    <row r="1643" spans="1:10" ht="15.75" thickBot="1" x14ac:dyDescent="0.3">
      <c r="A1643" s="4">
        <v>1642</v>
      </c>
      <c r="B1643" s="5" t="s">
        <v>8</v>
      </c>
      <c r="C1643" s="5" t="s">
        <v>1371</v>
      </c>
      <c r="D1643" s="6">
        <v>44845</v>
      </c>
      <c r="E1643" s="20">
        <v>894</v>
      </c>
      <c r="F1643" s="7">
        <v>0</v>
      </c>
      <c r="J1643" s="16"/>
    </row>
    <row r="1644" spans="1:10" ht="30.75" thickBot="1" x14ac:dyDescent="0.3">
      <c r="A1644" s="8">
        <v>1643</v>
      </c>
      <c r="B1644" s="9" t="s">
        <v>10</v>
      </c>
      <c r="C1644" s="9" t="s">
        <v>1372</v>
      </c>
      <c r="D1644" s="10">
        <v>45012</v>
      </c>
      <c r="E1644" s="21">
        <v>602</v>
      </c>
      <c r="F1644" s="11">
        <v>0</v>
      </c>
      <c r="J1644" s="16"/>
    </row>
    <row r="1645" spans="1:10" ht="30.75" thickBot="1" x14ac:dyDescent="0.3">
      <c r="A1645" s="8">
        <v>1644</v>
      </c>
      <c r="B1645" s="9" t="s">
        <v>12</v>
      </c>
      <c r="C1645" s="9" t="s">
        <v>1373</v>
      </c>
      <c r="D1645" s="10">
        <v>44654</v>
      </c>
      <c r="E1645" s="21">
        <v>636</v>
      </c>
      <c r="F1645" s="11">
        <v>0</v>
      </c>
      <c r="J1645" s="16"/>
    </row>
    <row r="1646" spans="1:10" ht="30.75" thickBot="1" x14ac:dyDescent="0.3">
      <c r="A1646" s="4">
        <v>1645</v>
      </c>
      <c r="B1646" s="5" t="s">
        <v>14</v>
      </c>
      <c r="C1646" s="5" t="s">
        <v>1374</v>
      </c>
      <c r="D1646" s="6">
        <v>44823</v>
      </c>
      <c r="E1646" s="20">
        <v>758</v>
      </c>
      <c r="F1646" s="7">
        <v>0</v>
      </c>
      <c r="J1646" s="16"/>
    </row>
    <row r="1647" spans="1:10" ht="30.75" thickBot="1" x14ac:dyDescent="0.3">
      <c r="A1647" s="4">
        <v>1646</v>
      </c>
      <c r="B1647" s="5" t="s">
        <v>16</v>
      </c>
      <c r="C1647" s="5" t="s">
        <v>1375</v>
      </c>
      <c r="D1647" s="6">
        <v>44931</v>
      </c>
      <c r="E1647" s="20">
        <v>697</v>
      </c>
      <c r="F1647" s="7">
        <v>0</v>
      </c>
      <c r="J1647" s="16"/>
    </row>
    <row r="1648" spans="1:10" ht="15.75" thickBot="1" x14ac:dyDescent="0.3">
      <c r="A1648" s="8">
        <v>1647</v>
      </c>
      <c r="B1648" s="9" t="s">
        <v>18</v>
      </c>
      <c r="C1648" s="9" t="s">
        <v>1376</v>
      </c>
      <c r="D1648" s="10">
        <v>44732</v>
      </c>
      <c r="E1648" s="21">
        <v>641</v>
      </c>
      <c r="F1648" s="11">
        <v>0</v>
      </c>
      <c r="J1648" s="16"/>
    </row>
    <row r="1649" spans="1:10" ht="15.75" thickBot="1" x14ac:dyDescent="0.3">
      <c r="A1649" s="8">
        <v>1648</v>
      </c>
      <c r="B1649" s="9" t="s">
        <v>20</v>
      </c>
      <c r="C1649" s="9" t="s">
        <v>1377</v>
      </c>
      <c r="D1649" s="10">
        <v>44906</v>
      </c>
      <c r="E1649" s="21">
        <v>753</v>
      </c>
      <c r="F1649" s="11">
        <v>0</v>
      </c>
      <c r="J1649" s="16"/>
    </row>
    <row r="1650" spans="1:10" ht="30.75" thickBot="1" x14ac:dyDescent="0.3">
      <c r="A1650" s="4">
        <v>1649</v>
      </c>
      <c r="B1650" s="5" t="s">
        <v>22</v>
      </c>
      <c r="C1650" s="5" t="s">
        <v>1378</v>
      </c>
      <c r="D1650" s="6">
        <v>44797</v>
      </c>
      <c r="E1650" s="20">
        <v>771</v>
      </c>
      <c r="F1650" s="7">
        <v>0</v>
      </c>
      <c r="J1650" s="16"/>
    </row>
    <row r="1651" spans="1:10" ht="30.75" thickBot="1" x14ac:dyDescent="0.3">
      <c r="A1651" s="4">
        <v>1650</v>
      </c>
      <c r="B1651" s="5" t="s">
        <v>24</v>
      </c>
      <c r="C1651" s="5" t="s">
        <v>1379</v>
      </c>
      <c r="D1651" s="6">
        <v>44673</v>
      </c>
      <c r="E1651" s="20">
        <v>845</v>
      </c>
      <c r="F1651" s="7">
        <v>0</v>
      </c>
      <c r="J1651" s="16"/>
    </row>
    <row r="1652" spans="1:10" ht="30.75" thickBot="1" x14ac:dyDescent="0.3">
      <c r="A1652" s="8">
        <v>1651</v>
      </c>
      <c r="B1652" s="9" t="s">
        <v>6</v>
      </c>
      <c r="C1652" s="9" t="s">
        <v>1380</v>
      </c>
      <c r="D1652" s="10">
        <v>44821</v>
      </c>
      <c r="E1652" s="21">
        <v>947</v>
      </c>
      <c r="F1652" s="11">
        <v>0</v>
      </c>
      <c r="J1652" s="16"/>
    </row>
    <row r="1653" spans="1:10" ht="15.75" thickBot="1" x14ac:dyDescent="0.3">
      <c r="A1653" s="8">
        <v>1652</v>
      </c>
      <c r="B1653" s="9" t="s">
        <v>8</v>
      </c>
      <c r="C1653" s="9" t="s">
        <v>1381</v>
      </c>
      <c r="D1653" s="10">
        <v>44735</v>
      </c>
      <c r="E1653" s="21">
        <v>645</v>
      </c>
      <c r="F1653" s="11">
        <v>0</v>
      </c>
      <c r="J1653" s="16"/>
    </row>
    <row r="1654" spans="1:10" ht="30.75" thickBot="1" x14ac:dyDescent="0.3">
      <c r="A1654" s="4">
        <v>1653</v>
      </c>
      <c r="B1654" s="5" t="s">
        <v>10</v>
      </c>
      <c r="C1654" s="5" t="s">
        <v>1382</v>
      </c>
      <c r="D1654" s="6">
        <v>44667</v>
      </c>
      <c r="E1654" s="20">
        <v>903</v>
      </c>
      <c r="F1654" s="7">
        <v>0</v>
      </c>
      <c r="J1654" s="16"/>
    </row>
    <row r="1655" spans="1:10" ht="30.75" thickBot="1" x14ac:dyDescent="0.3">
      <c r="A1655" s="4">
        <v>1654</v>
      </c>
      <c r="B1655" s="5" t="s">
        <v>12</v>
      </c>
      <c r="C1655" s="5" t="s">
        <v>1383</v>
      </c>
      <c r="D1655" s="6">
        <v>45012</v>
      </c>
      <c r="E1655" s="20">
        <v>468</v>
      </c>
      <c r="F1655" s="7">
        <v>0</v>
      </c>
      <c r="J1655" s="16"/>
    </row>
    <row r="1656" spans="1:10" ht="30.75" thickBot="1" x14ac:dyDescent="0.3">
      <c r="A1656" s="8">
        <v>1655</v>
      </c>
      <c r="B1656" s="9" t="s">
        <v>14</v>
      </c>
      <c r="C1656" s="9" t="s">
        <v>1384</v>
      </c>
      <c r="D1656" s="10">
        <v>44986</v>
      </c>
      <c r="E1656" s="21">
        <v>495</v>
      </c>
      <c r="F1656" s="11">
        <v>0</v>
      </c>
      <c r="J1656" s="16"/>
    </row>
    <row r="1657" spans="1:10" ht="30.75" thickBot="1" x14ac:dyDescent="0.3">
      <c r="A1657" s="8">
        <v>1656</v>
      </c>
      <c r="B1657" s="9" t="s">
        <v>16</v>
      </c>
      <c r="C1657" s="9" t="s">
        <v>1385</v>
      </c>
      <c r="D1657" s="10">
        <v>44713</v>
      </c>
      <c r="E1657" s="21">
        <v>618</v>
      </c>
      <c r="F1657" s="11">
        <v>0</v>
      </c>
      <c r="J1657" s="16"/>
    </row>
    <row r="1658" spans="1:10" ht="15.75" thickBot="1" x14ac:dyDescent="0.3">
      <c r="A1658" s="4">
        <v>1657</v>
      </c>
      <c r="B1658" s="5" t="s">
        <v>18</v>
      </c>
      <c r="C1658" s="5" t="s">
        <v>1386</v>
      </c>
      <c r="D1658" s="6">
        <v>44695</v>
      </c>
      <c r="E1658" s="20">
        <v>892</v>
      </c>
      <c r="F1658" s="7">
        <v>0</v>
      </c>
      <c r="J1658" s="16"/>
    </row>
    <row r="1659" spans="1:10" ht="15.75" thickBot="1" x14ac:dyDescent="0.3">
      <c r="A1659" s="4">
        <v>1658</v>
      </c>
      <c r="B1659" s="5" t="s">
        <v>20</v>
      </c>
      <c r="C1659" s="5" t="s">
        <v>1387</v>
      </c>
      <c r="D1659" s="6">
        <v>44868</v>
      </c>
      <c r="E1659" s="20">
        <v>776</v>
      </c>
      <c r="F1659" s="7">
        <v>0</v>
      </c>
      <c r="J1659" s="16"/>
    </row>
    <row r="1660" spans="1:10" ht="30.75" thickBot="1" x14ac:dyDescent="0.3">
      <c r="A1660" s="8">
        <v>1659</v>
      </c>
      <c r="B1660" s="9" t="s">
        <v>22</v>
      </c>
      <c r="C1660" s="9" t="s">
        <v>1388</v>
      </c>
      <c r="D1660" s="10">
        <v>44930</v>
      </c>
      <c r="E1660" s="21">
        <v>407</v>
      </c>
      <c r="F1660" s="11">
        <v>0</v>
      </c>
      <c r="J1660" s="16"/>
    </row>
    <row r="1661" spans="1:10" ht="30.75" thickBot="1" x14ac:dyDescent="0.3">
      <c r="A1661" s="8">
        <v>1660</v>
      </c>
      <c r="B1661" s="9" t="s">
        <v>24</v>
      </c>
      <c r="C1661" s="9" t="s">
        <v>1389</v>
      </c>
      <c r="D1661" s="10">
        <v>44895</v>
      </c>
      <c r="E1661" s="21">
        <v>968</v>
      </c>
      <c r="F1661" s="11">
        <v>0</v>
      </c>
      <c r="J1661" s="16"/>
    </row>
    <row r="1662" spans="1:10" ht="30.75" thickBot="1" x14ac:dyDescent="0.3">
      <c r="A1662" s="4">
        <v>1661</v>
      </c>
      <c r="B1662" s="5" t="s">
        <v>6</v>
      </c>
      <c r="C1662" s="5" t="s">
        <v>1390</v>
      </c>
      <c r="D1662" s="6">
        <v>44825</v>
      </c>
      <c r="E1662" s="20">
        <v>798</v>
      </c>
      <c r="F1662" s="7">
        <v>0</v>
      </c>
      <c r="J1662" s="16"/>
    </row>
    <row r="1663" spans="1:10" ht="15.75" thickBot="1" x14ac:dyDescent="0.3">
      <c r="A1663" s="4">
        <v>1662</v>
      </c>
      <c r="B1663" s="5" t="s">
        <v>8</v>
      </c>
      <c r="C1663" s="5" t="s">
        <v>1391</v>
      </c>
      <c r="D1663" s="6">
        <v>44625</v>
      </c>
      <c r="E1663" s="20">
        <v>916</v>
      </c>
      <c r="F1663" s="7">
        <v>0</v>
      </c>
      <c r="J1663" s="16"/>
    </row>
    <row r="1664" spans="1:10" ht="30.75" thickBot="1" x14ac:dyDescent="0.3">
      <c r="A1664" s="8">
        <v>1663</v>
      </c>
      <c r="B1664" s="9" t="s">
        <v>10</v>
      </c>
      <c r="C1664" s="9" t="s">
        <v>1392</v>
      </c>
      <c r="D1664" s="10">
        <v>44748</v>
      </c>
      <c r="E1664" s="21">
        <v>552</v>
      </c>
      <c r="F1664" s="11">
        <v>0</v>
      </c>
      <c r="J1664" s="16"/>
    </row>
    <row r="1665" spans="1:10" ht="30.75" thickBot="1" x14ac:dyDescent="0.3">
      <c r="A1665" s="8">
        <v>1664</v>
      </c>
      <c r="B1665" s="9" t="s">
        <v>12</v>
      </c>
      <c r="C1665" s="9" t="s">
        <v>1393</v>
      </c>
      <c r="D1665" s="10">
        <v>44905</v>
      </c>
      <c r="E1665" s="21">
        <v>426</v>
      </c>
      <c r="F1665" s="11">
        <v>0</v>
      </c>
      <c r="J1665" s="16"/>
    </row>
    <row r="1666" spans="1:10" ht="30.75" thickBot="1" x14ac:dyDescent="0.3">
      <c r="A1666" s="4">
        <v>1665</v>
      </c>
      <c r="B1666" s="5" t="s">
        <v>14</v>
      </c>
      <c r="C1666" s="5" t="s">
        <v>1394</v>
      </c>
      <c r="D1666" s="6">
        <v>44974</v>
      </c>
      <c r="E1666" s="20">
        <v>541</v>
      </c>
      <c r="F1666" s="7">
        <v>0</v>
      </c>
      <c r="J1666" s="16"/>
    </row>
    <row r="1667" spans="1:10" ht="30.75" thickBot="1" x14ac:dyDescent="0.3">
      <c r="A1667" s="4">
        <v>1666</v>
      </c>
      <c r="B1667" s="5" t="s">
        <v>16</v>
      </c>
      <c r="C1667" s="5" t="s">
        <v>1395</v>
      </c>
      <c r="D1667" s="6">
        <v>44938</v>
      </c>
      <c r="E1667" s="20">
        <v>578</v>
      </c>
      <c r="F1667" s="7">
        <v>0</v>
      </c>
      <c r="J1667" s="16"/>
    </row>
    <row r="1668" spans="1:10" ht="15.75" thickBot="1" x14ac:dyDescent="0.3">
      <c r="A1668" s="8">
        <v>1667</v>
      </c>
      <c r="B1668" s="9" t="s">
        <v>18</v>
      </c>
      <c r="C1668" s="9" t="s">
        <v>1396</v>
      </c>
      <c r="D1668" s="10">
        <v>44733</v>
      </c>
      <c r="E1668" s="21">
        <v>498</v>
      </c>
      <c r="F1668" s="11">
        <v>0</v>
      </c>
      <c r="J1668" s="16"/>
    </row>
    <row r="1669" spans="1:10" ht="15.75" thickBot="1" x14ac:dyDescent="0.3">
      <c r="A1669" s="8">
        <v>1668</v>
      </c>
      <c r="B1669" s="9" t="s">
        <v>20</v>
      </c>
      <c r="C1669" s="9" t="s">
        <v>1397</v>
      </c>
      <c r="D1669" s="10">
        <v>44967</v>
      </c>
      <c r="E1669" s="21">
        <v>763</v>
      </c>
      <c r="F1669" s="11">
        <v>0</v>
      </c>
      <c r="J1669" s="16"/>
    </row>
    <row r="1670" spans="1:10" ht="30.75" thickBot="1" x14ac:dyDescent="0.3">
      <c r="A1670" s="4">
        <v>1669</v>
      </c>
      <c r="B1670" s="5" t="s">
        <v>22</v>
      </c>
      <c r="C1670" s="5" t="s">
        <v>1398</v>
      </c>
      <c r="D1670" s="6">
        <v>44845</v>
      </c>
      <c r="E1670" s="20">
        <v>757</v>
      </c>
      <c r="F1670" s="7">
        <v>0</v>
      </c>
      <c r="J1670" s="16"/>
    </row>
    <row r="1671" spans="1:10" ht="30.75" thickBot="1" x14ac:dyDescent="0.3">
      <c r="A1671" s="4">
        <v>1670</v>
      </c>
      <c r="B1671" s="5" t="s">
        <v>24</v>
      </c>
      <c r="C1671" s="5" t="s">
        <v>1399</v>
      </c>
      <c r="D1671" s="6">
        <v>44715</v>
      </c>
      <c r="E1671" s="20">
        <v>414</v>
      </c>
      <c r="F1671" s="7">
        <v>0</v>
      </c>
      <c r="J1671" s="16"/>
    </row>
    <row r="1672" spans="1:10" ht="30.75" thickBot="1" x14ac:dyDescent="0.3">
      <c r="A1672" s="8">
        <v>1671</v>
      </c>
      <c r="B1672" s="9" t="s">
        <v>6</v>
      </c>
      <c r="C1672" s="9" t="s">
        <v>1400</v>
      </c>
      <c r="D1672" s="10">
        <v>44929</v>
      </c>
      <c r="E1672" s="21">
        <v>724</v>
      </c>
      <c r="F1672" s="11">
        <v>0</v>
      </c>
      <c r="J1672" s="16"/>
    </row>
    <row r="1673" spans="1:10" ht="15.75" thickBot="1" x14ac:dyDescent="0.3">
      <c r="A1673" s="8">
        <v>1672</v>
      </c>
      <c r="B1673" s="9" t="s">
        <v>8</v>
      </c>
      <c r="C1673" s="9" t="s">
        <v>1401</v>
      </c>
      <c r="D1673" s="10">
        <v>44856</v>
      </c>
      <c r="E1673" s="21">
        <v>834</v>
      </c>
      <c r="F1673" s="11">
        <v>0</v>
      </c>
      <c r="J1673" s="16"/>
    </row>
    <row r="1674" spans="1:10" ht="30.75" thickBot="1" x14ac:dyDescent="0.3">
      <c r="A1674" s="4">
        <v>1673</v>
      </c>
      <c r="B1674" s="5" t="s">
        <v>10</v>
      </c>
      <c r="C1674" s="5" t="s">
        <v>1402</v>
      </c>
      <c r="D1674" s="6">
        <v>44690</v>
      </c>
      <c r="E1674" s="20">
        <v>881</v>
      </c>
      <c r="F1674" s="7">
        <v>0</v>
      </c>
      <c r="J1674" s="16"/>
    </row>
    <row r="1675" spans="1:10" ht="30.75" thickBot="1" x14ac:dyDescent="0.3">
      <c r="A1675" s="4">
        <v>1674</v>
      </c>
      <c r="B1675" s="5" t="s">
        <v>12</v>
      </c>
      <c r="C1675" s="5" t="s">
        <v>1403</v>
      </c>
      <c r="D1675" s="6">
        <v>44930</v>
      </c>
      <c r="E1675" s="20">
        <v>743</v>
      </c>
      <c r="F1675" s="7">
        <v>0</v>
      </c>
      <c r="J1675" s="16"/>
    </row>
    <row r="1676" spans="1:10" ht="30.75" thickBot="1" x14ac:dyDescent="0.3">
      <c r="A1676" s="8">
        <v>1675</v>
      </c>
      <c r="B1676" s="9" t="s">
        <v>14</v>
      </c>
      <c r="C1676" s="9" t="s">
        <v>1404</v>
      </c>
      <c r="D1676" s="10">
        <v>44618</v>
      </c>
      <c r="E1676" s="21">
        <v>402</v>
      </c>
      <c r="F1676" s="11">
        <v>0</v>
      </c>
      <c r="J1676" s="16"/>
    </row>
    <row r="1677" spans="1:10" ht="30.75" thickBot="1" x14ac:dyDescent="0.3">
      <c r="A1677" s="8">
        <v>1676</v>
      </c>
      <c r="B1677" s="9" t="s">
        <v>16</v>
      </c>
      <c r="C1677" s="9" t="s">
        <v>1405</v>
      </c>
      <c r="D1677" s="10">
        <v>44798</v>
      </c>
      <c r="E1677" s="21">
        <v>895</v>
      </c>
      <c r="F1677" s="11">
        <v>0</v>
      </c>
      <c r="J1677" s="16"/>
    </row>
    <row r="1678" spans="1:10" ht="15.75" thickBot="1" x14ac:dyDescent="0.3">
      <c r="A1678" s="4">
        <v>1677</v>
      </c>
      <c r="B1678" s="5" t="s">
        <v>18</v>
      </c>
      <c r="C1678" s="5" t="s">
        <v>1406</v>
      </c>
      <c r="D1678" s="6">
        <v>44664</v>
      </c>
      <c r="E1678" s="20">
        <v>994</v>
      </c>
      <c r="F1678" s="7">
        <v>0</v>
      </c>
      <c r="J1678" s="16"/>
    </row>
    <row r="1679" spans="1:10" ht="15.75" thickBot="1" x14ac:dyDescent="0.3">
      <c r="A1679" s="4">
        <v>1678</v>
      </c>
      <c r="B1679" s="5" t="s">
        <v>20</v>
      </c>
      <c r="C1679" s="5" t="s">
        <v>1407</v>
      </c>
      <c r="D1679" s="6">
        <v>44811</v>
      </c>
      <c r="E1679" s="20">
        <v>773</v>
      </c>
      <c r="F1679" s="7">
        <v>0</v>
      </c>
      <c r="J1679" s="16"/>
    </row>
    <row r="1680" spans="1:10" ht="30.75" thickBot="1" x14ac:dyDescent="0.3">
      <c r="A1680" s="8">
        <v>1679</v>
      </c>
      <c r="B1680" s="9" t="s">
        <v>22</v>
      </c>
      <c r="C1680" s="9" t="s">
        <v>1408</v>
      </c>
      <c r="D1680" s="10">
        <v>44772</v>
      </c>
      <c r="E1680" s="21">
        <v>988</v>
      </c>
      <c r="F1680" s="11">
        <v>0</v>
      </c>
      <c r="J1680" s="16"/>
    </row>
    <row r="1681" spans="1:10" ht="30.75" thickBot="1" x14ac:dyDescent="0.3">
      <c r="A1681" s="8">
        <v>1680</v>
      </c>
      <c r="B1681" s="9" t="s">
        <v>24</v>
      </c>
      <c r="C1681" s="9" t="s">
        <v>1409</v>
      </c>
      <c r="D1681" s="10">
        <v>44939</v>
      </c>
      <c r="E1681" s="21">
        <v>789</v>
      </c>
      <c r="F1681" s="11">
        <v>0</v>
      </c>
      <c r="J1681" s="16"/>
    </row>
    <row r="1682" spans="1:10" ht="30.75" thickBot="1" x14ac:dyDescent="0.3">
      <c r="A1682" s="4">
        <v>1681</v>
      </c>
      <c r="B1682" s="5" t="s">
        <v>6</v>
      </c>
      <c r="C1682" s="5" t="s">
        <v>1410</v>
      </c>
      <c r="D1682" s="6">
        <v>44960</v>
      </c>
      <c r="E1682" s="20">
        <v>950</v>
      </c>
      <c r="F1682" s="7">
        <v>0</v>
      </c>
      <c r="J1682" s="16"/>
    </row>
    <row r="1683" spans="1:10" ht="15.75" thickBot="1" x14ac:dyDescent="0.3">
      <c r="A1683" s="4">
        <v>1682</v>
      </c>
      <c r="B1683" s="5" t="s">
        <v>8</v>
      </c>
      <c r="C1683" s="5" t="s">
        <v>1411</v>
      </c>
      <c r="D1683" s="6">
        <v>44649</v>
      </c>
      <c r="E1683" s="20">
        <v>544</v>
      </c>
      <c r="F1683" s="7">
        <v>0</v>
      </c>
      <c r="J1683" s="16"/>
    </row>
    <row r="1684" spans="1:10" ht="30.75" thickBot="1" x14ac:dyDescent="0.3">
      <c r="A1684" s="8">
        <v>1683</v>
      </c>
      <c r="B1684" s="9" t="s">
        <v>10</v>
      </c>
      <c r="C1684" s="9" t="s">
        <v>1412</v>
      </c>
      <c r="D1684" s="10">
        <v>44751</v>
      </c>
      <c r="E1684" s="21">
        <v>958</v>
      </c>
      <c r="F1684" s="11">
        <v>0</v>
      </c>
      <c r="J1684" s="16"/>
    </row>
    <row r="1685" spans="1:10" ht="30.75" thickBot="1" x14ac:dyDescent="0.3">
      <c r="A1685" s="8">
        <v>1684</v>
      </c>
      <c r="B1685" s="9" t="s">
        <v>12</v>
      </c>
      <c r="C1685" s="9" t="s">
        <v>1413</v>
      </c>
      <c r="D1685" s="10">
        <v>44672</v>
      </c>
      <c r="E1685" s="21">
        <v>549</v>
      </c>
      <c r="F1685" s="11">
        <v>0</v>
      </c>
      <c r="J1685" s="16"/>
    </row>
    <row r="1686" spans="1:10" ht="30.75" thickBot="1" x14ac:dyDescent="0.3">
      <c r="A1686" s="4">
        <v>1685</v>
      </c>
      <c r="B1686" s="5" t="s">
        <v>14</v>
      </c>
      <c r="C1686" s="5" t="s">
        <v>1414</v>
      </c>
      <c r="D1686" s="6">
        <v>44645</v>
      </c>
      <c r="E1686" s="20">
        <v>645</v>
      </c>
      <c r="F1686" s="7">
        <v>0</v>
      </c>
      <c r="J1686" s="16"/>
    </row>
    <row r="1687" spans="1:10" ht="30.75" thickBot="1" x14ac:dyDescent="0.3">
      <c r="A1687" s="4">
        <v>1686</v>
      </c>
      <c r="B1687" s="5" t="s">
        <v>16</v>
      </c>
      <c r="C1687" s="5" t="s">
        <v>1415</v>
      </c>
      <c r="D1687" s="6">
        <v>44726</v>
      </c>
      <c r="E1687" s="20">
        <v>609</v>
      </c>
      <c r="F1687" s="7">
        <v>0</v>
      </c>
      <c r="J1687" s="16"/>
    </row>
    <row r="1688" spans="1:10" ht="15.75" thickBot="1" x14ac:dyDescent="0.3">
      <c r="A1688" s="8">
        <v>1687</v>
      </c>
      <c r="B1688" s="9" t="s">
        <v>18</v>
      </c>
      <c r="C1688" s="9" t="s">
        <v>1416</v>
      </c>
      <c r="D1688" s="10">
        <v>44987</v>
      </c>
      <c r="E1688" s="21">
        <v>625</v>
      </c>
      <c r="F1688" s="11">
        <v>0</v>
      </c>
      <c r="J1688" s="16"/>
    </row>
    <row r="1689" spans="1:10" ht="15.75" thickBot="1" x14ac:dyDescent="0.3">
      <c r="A1689" s="8">
        <v>1688</v>
      </c>
      <c r="B1689" s="9" t="s">
        <v>20</v>
      </c>
      <c r="C1689" s="9" t="s">
        <v>1417</v>
      </c>
      <c r="D1689" s="10">
        <v>44743</v>
      </c>
      <c r="E1689" s="21">
        <v>924</v>
      </c>
      <c r="F1689" s="11">
        <v>0</v>
      </c>
      <c r="J1689" s="16"/>
    </row>
    <row r="1690" spans="1:10" ht="30.75" thickBot="1" x14ac:dyDescent="0.3">
      <c r="A1690" s="4">
        <v>1689</v>
      </c>
      <c r="B1690" s="5" t="s">
        <v>22</v>
      </c>
      <c r="C1690" s="5" t="s">
        <v>1418</v>
      </c>
      <c r="D1690" s="6">
        <v>44916</v>
      </c>
      <c r="E1690" s="20">
        <v>856</v>
      </c>
      <c r="F1690" s="7">
        <v>0</v>
      </c>
      <c r="J1690" s="16"/>
    </row>
    <row r="1691" spans="1:10" ht="30.75" thickBot="1" x14ac:dyDescent="0.3">
      <c r="A1691" s="4">
        <v>1690</v>
      </c>
      <c r="B1691" s="5" t="s">
        <v>24</v>
      </c>
      <c r="C1691" s="5" t="s">
        <v>1419</v>
      </c>
      <c r="D1691" s="6">
        <v>44839</v>
      </c>
      <c r="E1691" s="20">
        <v>846</v>
      </c>
      <c r="F1691" s="7">
        <v>0</v>
      </c>
      <c r="J1691" s="16"/>
    </row>
    <row r="1692" spans="1:10" ht="30.75" thickBot="1" x14ac:dyDescent="0.3">
      <c r="A1692" s="8">
        <v>1691</v>
      </c>
      <c r="B1692" s="9" t="s">
        <v>6</v>
      </c>
      <c r="C1692" s="9" t="s">
        <v>1420</v>
      </c>
      <c r="D1692" s="10">
        <v>44834</v>
      </c>
      <c r="E1692" s="21">
        <v>409</v>
      </c>
      <c r="F1692" s="11">
        <v>0</v>
      </c>
      <c r="J1692" s="16"/>
    </row>
    <row r="1693" spans="1:10" ht="15.75" thickBot="1" x14ac:dyDescent="0.3">
      <c r="A1693" s="8">
        <v>1692</v>
      </c>
      <c r="B1693" s="9" t="s">
        <v>8</v>
      </c>
      <c r="C1693" s="9" t="s">
        <v>1421</v>
      </c>
      <c r="D1693" s="10">
        <v>44777</v>
      </c>
      <c r="E1693" s="21">
        <v>538</v>
      </c>
      <c r="F1693" s="11">
        <v>0</v>
      </c>
      <c r="J1693" s="16"/>
    </row>
    <row r="1694" spans="1:10" ht="30.75" thickBot="1" x14ac:dyDescent="0.3">
      <c r="A1694" s="4">
        <v>1693</v>
      </c>
      <c r="B1694" s="5" t="s">
        <v>10</v>
      </c>
      <c r="C1694" s="5" t="s">
        <v>1422</v>
      </c>
      <c r="D1694" s="6">
        <v>44952</v>
      </c>
      <c r="E1694" s="20">
        <v>693</v>
      </c>
      <c r="F1694" s="7">
        <v>0</v>
      </c>
      <c r="J1694" s="16"/>
    </row>
    <row r="1695" spans="1:10" ht="30.75" thickBot="1" x14ac:dyDescent="0.3">
      <c r="A1695" s="4">
        <v>1694</v>
      </c>
      <c r="B1695" s="5" t="s">
        <v>12</v>
      </c>
      <c r="C1695" s="5" t="s">
        <v>1423</v>
      </c>
      <c r="D1695" s="6">
        <v>44783</v>
      </c>
      <c r="E1695" s="20">
        <v>972</v>
      </c>
      <c r="F1695" s="7">
        <v>0</v>
      </c>
      <c r="J1695" s="16"/>
    </row>
    <row r="1696" spans="1:10" ht="30.75" thickBot="1" x14ac:dyDescent="0.3">
      <c r="A1696" s="8">
        <v>1695</v>
      </c>
      <c r="B1696" s="9" t="s">
        <v>14</v>
      </c>
      <c r="C1696" s="9" t="s">
        <v>1424</v>
      </c>
      <c r="D1696" s="10">
        <v>44797</v>
      </c>
      <c r="E1696" s="21">
        <v>414</v>
      </c>
      <c r="F1696" s="11">
        <v>0</v>
      </c>
      <c r="J1696" s="16"/>
    </row>
    <row r="1697" spans="1:10" ht="30.75" thickBot="1" x14ac:dyDescent="0.3">
      <c r="A1697" s="8">
        <v>1696</v>
      </c>
      <c r="B1697" s="9" t="s">
        <v>16</v>
      </c>
      <c r="C1697" s="9" t="s">
        <v>1425</v>
      </c>
      <c r="D1697" s="10">
        <v>44598</v>
      </c>
      <c r="E1697" s="21">
        <v>894</v>
      </c>
      <c r="F1697" s="11">
        <v>0</v>
      </c>
      <c r="J1697" s="16"/>
    </row>
    <row r="1698" spans="1:10" ht="15.75" thickBot="1" x14ac:dyDescent="0.3">
      <c r="A1698" s="4">
        <v>1697</v>
      </c>
      <c r="B1698" s="5" t="s">
        <v>18</v>
      </c>
      <c r="C1698" s="5" t="s">
        <v>1426</v>
      </c>
      <c r="D1698" s="6">
        <v>44922</v>
      </c>
      <c r="E1698" s="20">
        <v>510</v>
      </c>
      <c r="F1698" s="7">
        <v>0</v>
      </c>
      <c r="J1698" s="16"/>
    </row>
    <row r="1699" spans="1:10" ht="15.75" thickBot="1" x14ac:dyDescent="0.3">
      <c r="A1699" s="4">
        <v>1698</v>
      </c>
      <c r="B1699" s="5" t="s">
        <v>20</v>
      </c>
      <c r="C1699" s="5" t="s">
        <v>1427</v>
      </c>
      <c r="D1699" s="6">
        <v>44890</v>
      </c>
      <c r="E1699" s="20">
        <v>615</v>
      </c>
      <c r="F1699" s="7">
        <v>0</v>
      </c>
      <c r="J1699" s="16"/>
    </row>
    <row r="1700" spans="1:10" ht="30.75" thickBot="1" x14ac:dyDescent="0.3">
      <c r="A1700" s="8">
        <v>1699</v>
      </c>
      <c r="B1700" s="9" t="s">
        <v>22</v>
      </c>
      <c r="C1700" s="9" t="s">
        <v>1428</v>
      </c>
      <c r="D1700" s="10">
        <v>44674</v>
      </c>
      <c r="E1700" s="21">
        <v>640</v>
      </c>
      <c r="F1700" s="11">
        <v>0</v>
      </c>
      <c r="J1700" s="16"/>
    </row>
    <row r="1701" spans="1:10" ht="30.75" thickBot="1" x14ac:dyDescent="0.3">
      <c r="A1701" s="8">
        <v>1700</v>
      </c>
      <c r="B1701" s="9" t="s">
        <v>24</v>
      </c>
      <c r="C1701" s="9" t="s">
        <v>1429</v>
      </c>
      <c r="D1701" s="10">
        <v>44922</v>
      </c>
      <c r="E1701" s="21">
        <v>762</v>
      </c>
      <c r="F1701" s="11">
        <v>0</v>
      </c>
      <c r="J1701" s="16"/>
    </row>
    <row r="1702" spans="1:10" ht="30.75" thickBot="1" x14ac:dyDescent="0.3">
      <c r="A1702" s="4">
        <v>1701</v>
      </c>
      <c r="B1702" s="5" t="s">
        <v>6</v>
      </c>
      <c r="C1702" s="5" t="s">
        <v>1430</v>
      </c>
      <c r="D1702" s="6">
        <v>44771</v>
      </c>
      <c r="E1702" s="20">
        <v>581</v>
      </c>
      <c r="F1702" s="7">
        <v>0</v>
      </c>
      <c r="J1702" s="16"/>
    </row>
    <row r="1703" spans="1:10" ht="15.75" thickBot="1" x14ac:dyDescent="0.3">
      <c r="A1703" s="4">
        <v>1702</v>
      </c>
      <c r="B1703" s="5" t="s">
        <v>8</v>
      </c>
      <c r="C1703" s="5" t="s">
        <v>1431</v>
      </c>
      <c r="D1703" s="6">
        <v>44585</v>
      </c>
      <c r="E1703" s="20">
        <v>702</v>
      </c>
      <c r="F1703" s="7">
        <v>0</v>
      </c>
      <c r="J1703" s="16"/>
    </row>
    <row r="1704" spans="1:10" ht="30.75" thickBot="1" x14ac:dyDescent="0.3">
      <c r="A1704" s="8">
        <v>1703</v>
      </c>
      <c r="B1704" s="9" t="s">
        <v>10</v>
      </c>
      <c r="C1704" s="9" t="s">
        <v>1432</v>
      </c>
      <c r="D1704" s="10">
        <v>45017</v>
      </c>
      <c r="E1704" s="21">
        <v>626</v>
      </c>
      <c r="F1704" s="11">
        <v>0</v>
      </c>
      <c r="J1704" s="16"/>
    </row>
    <row r="1705" spans="1:10" ht="30.75" thickBot="1" x14ac:dyDescent="0.3">
      <c r="A1705" s="8">
        <v>1704</v>
      </c>
      <c r="B1705" s="9" t="s">
        <v>12</v>
      </c>
      <c r="C1705" s="9" t="s">
        <v>1433</v>
      </c>
      <c r="D1705" s="10">
        <v>44752</v>
      </c>
      <c r="E1705" s="21">
        <v>931</v>
      </c>
      <c r="F1705" s="11">
        <v>0</v>
      </c>
      <c r="J1705" s="16"/>
    </row>
    <row r="1706" spans="1:10" ht="30.75" thickBot="1" x14ac:dyDescent="0.3">
      <c r="A1706" s="4">
        <v>1705</v>
      </c>
      <c r="B1706" s="5" t="s">
        <v>14</v>
      </c>
      <c r="C1706" s="5" t="s">
        <v>1434</v>
      </c>
      <c r="D1706" s="6">
        <v>44792</v>
      </c>
      <c r="E1706" s="20">
        <v>989</v>
      </c>
      <c r="F1706" s="7">
        <v>0</v>
      </c>
      <c r="J1706" s="16"/>
    </row>
    <row r="1707" spans="1:10" ht="30.75" thickBot="1" x14ac:dyDescent="0.3">
      <c r="A1707" s="4">
        <v>1706</v>
      </c>
      <c r="B1707" s="5" t="s">
        <v>16</v>
      </c>
      <c r="C1707" s="5" t="s">
        <v>1435</v>
      </c>
      <c r="D1707" s="6">
        <v>44660</v>
      </c>
      <c r="E1707" s="20">
        <v>501</v>
      </c>
      <c r="F1707" s="7">
        <v>0</v>
      </c>
      <c r="J1707" s="16"/>
    </row>
    <row r="1708" spans="1:10" ht="15.75" thickBot="1" x14ac:dyDescent="0.3">
      <c r="A1708" s="8">
        <v>1707</v>
      </c>
      <c r="B1708" s="9" t="s">
        <v>18</v>
      </c>
      <c r="C1708" s="9" t="s">
        <v>1436</v>
      </c>
      <c r="D1708" s="10">
        <v>45047</v>
      </c>
      <c r="E1708" s="21">
        <v>949</v>
      </c>
      <c r="F1708" s="11">
        <v>0</v>
      </c>
      <c r="J1708" s="16"/>
    </row>
    <row r="1709" spans="1:10" ht="15.75" thickBot="1" x14ac:dyDescent="0.3">
      <c r="A1709" s="8">
        <v>1708</v>
      </c>
      <c r="B1709" s="9" t="s">
        <v>20</v>
      </c>
      <c r="C1709" s="9" t="s">
        <v>1437</v>
      </c>
      <c r="D1709" s="10">
        <v>44822</v>
      </c>
      <c r="E1709" s="21">
        <v>622</v>
      </c>
      <c r="F1709" s="11">
        <v>0</v>
      </c>
      <c r="J1709" s="16"/>
    </row>
    <row r="1710" spans="1:10" ht="30.75" thickBot="1" x14ac:dyDescent="0.3">
      <c r="A1710" s="4">
        <v>1709</v>
      </c>
      <c r="B1710" s="5" t="s">
        <v>22</v>
      </c>
      <c r="C1710" s="5" t="s">
        <v>1438</v>
      </c>
      <c r="D1710" s="6">
        <v>44637</v>
      </c>
      <c r="E1710" s="20">
        <v>736</v>
      </c>
      <c r="F1710" s="7">
        <v>0</v>
      </c>
      <c r="J1710" s="16"/>
    </row>
    <row r="1711" spans="1:10" ht="30.75" thickBot="1" x14ac:dyDescent="0.3">
      <c r="A1711" s="4">
        <v>1710</v>
      </c>
      <c r="B1711" s="5" t="s">
        <v>24</v>
      </c>
      <c r="C1711" s="5" t="s">
        <v>1439</v>
      </c>
      <c r="D1711" s="6">
        <v>44562</v>
      </c>
      <c r="E1711" s="20">
        <v>542</v>
      </c>
      <c r="F1711" s="7">
        <v>0</v>
      </c>
      <c r="J1711" s="16"/>
    </row>
    <row r="1712" spans="1:10" ht="30.75" thickBot="1" x14ac:dyDescent="0.3">
      <c r="A1712" s="8">
        <v>1711</v>
      </c>
      <c r="B1712" s="9" t="s">
        <v>6</v>
      </c>
      <c r="C1712" s="9" t="s">
        <v>1440</v>
      </c>
      <c r="D1712" s="10">
        <v>44894</v>
      </c>
      <c r="E1712" s="21">
        <v>417</v>
      </c>
      <c r="F1712" s="11">
        <v>0</v>
      </c>
      <c r="J1712" s="16"/>
    </row>
    <row r="1713" spans="1:10" ht="15.75" thickBot="1" x14ac:dyDescent="0.3">
      <c r="A1713" s="8">
        <v>1712</v>
      </c>
      <c r="B1713" s="9" t="s">
        <v>8</v>
      </c>
      <c r="C1713" s="9" t="s">
        <v>1441</v>
      </c>
      <c r="D1713" s="10">
        <v>44961</v>
      </c>
      <c r="E1713" s="21">
        <v>960</v>
      </c>
      <c r="F1713" s="11">
        <v>0</v>
      </c>
      <c r="J1713" s="16"/>
    </row>
    <row r="1714" spans="1:10" ht="30.75" thickBot="1" x14ac:dyDescent="0.3">
      <c r="A1714" s="4">
        <v>1713</v>
      </c>
      <c r="B1714" s="5" t="s">
        <v>10</v>
      </c>
      <c r="C1714" s="5" t="s">
        <v>1442</v>
      </c>
      <c r="D1714" s="6">
        <v>44890</v>
      </c>
      <c r="E1714" s="20">
        <v>757</v>
      </c>
      <c r="F1714" s="7">
        <v>0</v>
      </c>
      <c r="J1714" s="16"/>
    </row>
    <row r="1715" spans="1:10" ht="30.75" thickBot="1" x14ac:dyDescent="0.3">
      <c r="A1715" s="4">
        <v>1714</v>
      </c>
      <c r="B1715" s="5" t="s">
        <v>12</v>
      </c>
      <c r="C1715" s="5" t="s">
        <v>1443</v>
      </c>
      <c r="D1715" s="6">
        <v>44996</v>
      </c>
      <c r="E1715" s="20">
        <v>712</v>
      </c>
      <c r="F1715" s="7">
        <v>0</v>
      </c>
      <c r="J1715" s="16"/>
    </row>
    <row r="1716" spans="1:10" ht="30.75" thickBot="1" x14ac:dyDescent="0.3">
      <c r="A1716" s="8">
        <v>1715</v>
      </c>
      <c r="B1716" s="9" t="s">
        <v>14</v>
      </c>
      <c r="C1716" s="9" t="s">
        <v>1444</v>
      </c>
      <c r="D1716" s="10">
        <v>44726</v>
      </c>
      <c r="E1716" s="21">
        <v>534</v>
      </c>
      <c r="F1716" s="11">
        <v>0</v>
      </c>
      <c r="J1716" s="16"/>
    </row>
    <row r="1717" spans="1:10" ht="30.75" thickBot="1" x14ac:dyDescent="0.3">
      <c r="A1717" s="8">
        <v>1716</v>
      </c>
      <c r="B1717" s="9" t="s">
        <v>16</v>
      </c>
      <c r="C1717" s="9" t="s">
        <v>1445</v>
      </c>
      <c r="D1717" s="10">
        <v>45047</v>
      </c>
      <c r="E1717" s="21">
        <v>912</v>
      </c>
      <c r="F1717" s="11">
        <v>0</v>
      </c>
      <c r="J1717" s="16"/>
    </row>
    <row r="1718" spans="1:10" ht="15.75" thickBot="1" x14ac:dyDescent="0.3">
      <c r="A1718" s="4">
        <v>1717</v>
      </c>
      <c r="B1718" s="5" t="s">
        <v>18</v>
      </c>
      <c r="C1718" s="5" t="s">
        <v>1446</v>
      </c>
      <c r="D1718" s="6">
        <v>44890</v>
      </c>
      <c r="E1718" s="20">
        <v>445</v>
      </c>
      <c r="F1718" s="7">
        <v>0</v>
      </c>
      <c r="J1718" s="16"/>
    </row>
    <row r="1719" spans="1:10" ht="15.75" thickBot="1" x14ac:dyDescent="0.3">
      <c r="A1719" s="4">
        <v>1718</v>
      </c>
      <c r="B1719" s="5" t="s">
        <v>20</v>
      </c>
      <c r="C1719" s="5" t="s">
        <v>1447</v>
      </c>
      <c r="D1719" s="6">
        <v>44800</v>
      </c>
      <c r="E1719" s="20">
        <v>828</v>
      </c>
      <c r="F1719" s="7">
        <v>0</v>
      </c>
      <c r="J1719" s="16"/>
    </row>
    <row r="1720" spans="1:10" ht="30.75" thickBot="1" x14ac:dyDescent="0.3">
      <c r="A1720" s="8">
        <v>1719</v>
      </c>
      <c r="B1720" s="9" t="s">
        <v>22</v>
      </c>
      <c r="C1720" s="9" t="s">
        <v>1448</v>
      </c>
      <c r="D1720" s="10">
        <v>44903</v>
      </c>
      <c r="E1720" s="21">
        <v>570</v>
      </c>
      <c r="F1720" s="11">
        <v>0</v>
      </c>
      <c r="J1720" s="16"/>
    </row>
    <row r="1721" spans="1:10" ht="30.75" thickBot="1" x14ac:dyDescent="0.3">
      <c r="A1721" s="8">
        <v>1720</v>
      </c>
      <c r="B1721" s="9" t="s">
        <v>24</v>
      </c>
      <c r="C1721" s="9" t="s">
        <v>1449</v>
      </c>
      <c r="D1721" s="10">
        <v>44900</v>
      </c>
      <c r="E1721" s="21">
        <v>917</v>
      </c>
      <c r="F1721" s="11">
        <v>0</v>
      </c>
      <c r="J1721" s="16"/>
    </row>
    <row r="1722" spans="1:10" ht="30.75" thickBot="1" x14ac:dyDescent="0.3">
      <c r="A1722" s="4">
        <v>1721</v>
      </c>
      <c r="B1722" s="5" t="s">
        <v>6</v>
      </c>
      <c r="C1722" s="5" t="s">
        <v>1450</v>
      </c>
      <c r="D1722" s="6">
        <v>44753</v>
      </c>
      <c r="E1722" s="20">
        <v>554</v>
      </c>
      <c r="F1722" s="7">
        <v>0</v>
      </c>
      <c r="J1722" s="16"/>
    </row>
    <row r="1723" spans="1:10" ht="15.75" thickBot="1" x14ac:dyDescent="0.3">
      <c r="A1723" s="4">
        <v>1722</v>
      </c>
      <c r="B1723" s="5" t="s">
        <v>8</v>
      </c>
      <c r="C1723" s="5" t="s">
        <v>1451</v>
      </c>
      <c r="D1723" s="6">
        <v>44793</v>
      </c>
      <c r="E1723" s="20">
        <v>766</v>
      </c>
      <c r="F1723" s="7">
        <v>0</v>
      </c>
      <c r="J1723" s="16"/>
    </row>
    <row r="1724" spans="1:10" ht="30.75" thickBot="1" x14ac:dyDescent="0.3">
      <c r="A1724" s="8">
        <v>1723</v>
      </c>
      <c r="B1724" s="9" t="s">
        <v>10</v>
      </c>
      <c r="C1724" s="9" t="s">
        <v>1452</v>
      </c>
      <c r="D1724" s="10">
        <v>44732</v>
      </c>
      <c r="E1724" s="21">
        <v>799</v>
      </c>
      <c r="F1724" s="11">
        <v>0</v>
      </c>
      <c r="J1724" s="16"/>
    </row>
    <row r="1725" spans="1:10" ht="30.75" thickBot="1" x14ac:dyDescent="0.3">
      <c r="A1725" s="8">
        <v>1724</v>
      </c>
      <c r="B1725" s="9" t="s">
        <v>12</v>
      </c>
      <c r="C1725" s="9" t="s">
        <v>1453</v>
      </c>
      <c r="D1725" s="10">
        <v>44939</v>
      </c>
      <c r="E1725" s="21">
        <v>525</v>
      </c>
      <c r="F1725" s="11">
        <v>0</v>
      </c>
      <c r="J1725" s="16"/>
    </row>
    <row r="1726" spans="1:10" ht="30.75" thickBot="1" x14ac:dyDescent="0.3">
      <c r="A1726" s="4">
        <v>1725</v>
      </c>
      <c r="B1726" s="5" t="s">
        <v>14</v>
      </c>
      <c r="C1726" s="5" t="s">
        <v>1454</v>
      </c>
      <c r="D1726" s="6">
        <v>44891</v>
      </c>
      <c r="E1726" s="20">
        <v>603</v>
      </c>
      <c r="F1726" s="7">
        <v>0</v>
      </c>
      <c r="J1726" s="16"/>
    </row>
    <row r="1727" spans="1:10" ht="30.75" thickBot="1" x14ac:dyDescent="0.3">
      <c r="A1727" s="4">
        <v>1726</v>
      </c>
      <c r="B1727" s="5" t="s">
        <v>16</v>
      </c>
      <c r="C1727" s="5" t="s">
        <v>1455</v>
      </c>
      <c r="D1727" s="6">
        <v>44902</v>
      </c>
      <c r="E1727" s="20">
        <v>780</v>
      </c>
      <c r="F1727" s="7">
        <v>0</v>
      </c>
      <c r="J1727" s="16"/>
    </row>
    <row r="1728" spans="1:10" ht="15.75" thickBot="1" x14ac:dyDescent="0.3">
      <c r="A1728" s="8">
        <v>1727</v>
      </c>
      <c r="B1728" s="9" t="s">
        <v>18</v>
      </c>
      <c r="C1728" s="9" t="s">
        <v>1456</v>
      </c>
      <c r="D1728" s="10">
        <v>44772</v>
      </c>
      <c r="E1728" s="21">
        <v>893</v>
      </c>
      <c r="F1728" s="11">
        <v>0</v>
      </c>
      <c r="J1728" s="16"/>
    </row>
    <row r="1729" spans="1:10" ht="15.75" thickBot="1" x14ac:dyDescent="0.3">
      <c r="A1729" s="8">
        <v>1728</v>
      </c>
      <c r="B1729" s="9" t="s">
        <v>20</v>
      </c>
      <c r="C1729" s="9" t="s">
        <v>1457</v>
      </c>
      <c r="D1729" s="10">
        <v>44983</v>
      </c>
      <c r="E1729" s="21">
        <v>510</v>
      </c>
      <c r="F1729" s="11">
        <v>0</v>
      </c>
      <c r="J1729" s="16"/>
    </row>
    <row r="1730" spans="1:10" ht="30.75" thickBot="1" x14ac:dyDescent="0.3">
      <c r="A1730" s="4">
        <v>1729</v>
      </c>
      <c r="B1730" s="5" t="s">
        <v>22</v>
      </c>
      <c r="C1730" s="5" t="s">
        <v>1458</v>
      </c>
      <c r="D1730" s="6">
        <v>44900</v>
      </c>
      <c r="E1730" s="20">
        <v>850</v>
      </c>
      <c r="F1730" s="7">
        <v>0</v>
      </c>
      <c r="J1730" s="16"/>
    </row>
    <row r="1731" spans="1:10" ht="30.75" thickBot="1" x14ac:dyDescent="0.3">
      <c r="A1731" s="4">
        <v>1730</v>
      </c>
      <c r="B1731" s="5" t="s">
        <v>24</v>
      </c>
      <c r="C1731" s="5" t="s">
        <v>1459</v>
      </c>
      <c r="D1731" s="6">
        <v>44977</v>
      </c>
      <c r="E1731" s="20">
        <v>511</v>
      </c>
      <c r="F1731" s="7">
        <v>0</v>
      </c>
      <c r="J1731" s="16"/>
    </row>
    <row r="1732" spans="1:10" ht="30.75" thickBot="1" x14ac:dyDescent="0.3">
      <c r="A1732" s="8">
        <v>1731</v>
      </c>
      <c r="B1732" s="9" t="s">
        <v>6</v>
      </c>
      <c r="C1732" s="9" t="s">
        <v>1460</v>
      </c>
      <c r="D1732" s="10">
        <v>44762</v>
      </c>
      <c r="E1732" s="21">
        <v>828</v>
      </c>
      <c r="F1732" s="11">
        <v>0</v>
      </c>
      <c r="J1732" s="16"/>
    </row>
    <row r="1733" spans="1:10" ht="15.75" thickBot="1" x14ac:dyDescent="0.3">
      <c r="A1733" s="8">
        <v>1732</v>
      </c>
      <c r="B1733" s="9" t="s">
        <v>8</v>
      </c>
      <c r="C1733" s="9" t="s">
        <v>1461</v>
      </c>
      <c r="D1733" s="10">
        <v>45011</v>
      </c>
      <c r="E1733" s="21">
        <v>732</v>
      </c>
      <c r="F1733" s="11">
        <v>0</v>
      </c>
      <c r="J1733" s="16"/>
    </row>
    <row r="1734" spans="1:10" ht="30.75" thickBot="1" x14ac:dyDescent="0.3">
      <c r="A1734" s="4">
        <v>1733</v>
      </c>
      <c r="B1734" s="5" t="s">
        <v>10</v>
      </c>
      <c r="C1734" s="5" t="s">
        <v>1462</v>
      </c>
      <c r="D1734" s="6">
        <v>45015</v>
      </c>
      <c r="E1734" s="20">
        <v>508</v>
      </c>
      <c r="F1734" s="7">
        <v>0</v>
      </c>
      <c r="J1734" s="16"/>
    </row>
    <row r="1735" spans="1:10" ht="30.75" thickBot="1" x14ac:dyDescent="0.3">
      <c r="A1735" s="4">
        <v>1734</v>
      </c>
      <c r="B1735" s="5" t="s">
        <v>12</v>
      </c>
      <c r="C1735" s="5" t="s">
        <v>1463</v>
      </c>
      <c r="D1735" s="6">
        <v>44816</v>
      </c>
      <c r="E1735" s="20">
        <v>997</v>
      </c>
      <c r="F1735" s="7">
        <v>0</v>
      </c>
      <c r="J1735" s="16"/>
    </row>
    <row r="1736" spans="1:10" ht="30.75" thickBot="1" x14ac:dyDescent="0.3">
      <c r="A1736" s="8">
        <v>1735</v>
      </c>
      <c r="B1736" s="9" t="s">
        <v>14</v>
      </c>
      <c r="C1736" s="9" t="s">
        <v>1464</v>
      </c>
      <c r="D1736" s="10">
        <v>44655</v>
      </c>
      <c r="E1736" s="21">
        <v>889</v>
      </c>
      <c r="F1736" s="11">
        <v>0</v>
      </c>
      <c r="J1736" s="16"/>
    </row>
    <row r="1737" spans="1:10" ht="30.75" thickBot="1" x14ac:dyDescent="0.3">
      <c r="A1737" s="8">
        <v>1736</v>
      </c>
      <c r="B1737" s="9" t="s">
        <v>16</v>
      </c>
      <c r="C1737" s="9" t="s">
        <v>1465</v>
      </c>
      <c r="D1737" s="10">
        <v>44933</v>
      </c>
      <c r="E1737" s="21">
        <v>615</v>
      </c>
      <c r="F1737" s="11">
        <v>0</v>
      </c>
      <c r="J1737" s="16"/>
    </row>
    <row r="1738" spans="1:10" ht="15.75" thickBot="1" x14ac:dyDescent="0.3">
      <c r="A1738" s="4">
        <v>1737</v>
      </c>
      <c r="B1738" s="5" t="s">
        <v>18</v>
      </c>
      <c r="C1738" s="5" t="s">
        <v>1466</v>
      </c>
      <c r="D1738" s="6">
        <v>44963</v>
      </c>
      <c r="E1738" s="20">
        <v>604</v>
      </c>
      <c r="F1738" s="7">
        <v>0</v>
      </c>
      <c r="J1738" s="16"/>
    </row>
    <row r="1739" spans="1:10" ht="15.75" thickBot="1" x14ac:dyDescent="0.3">
      <c r="A1739" s="4">
        <v>1738</v>
      </c>
      <c r="B1739" s="5" t="s">
        <v>20</v>
      </c>
      <c r="C1739" s="5" t="s">
        <v>1467</v>
      </c>
      <c r="D1739" s="6">
        <v>44818</v>
      </c>
      <c r="E1739" s="20">
        <v>510</v>
      </c>
      <c r="F1739" s="7">
        <v>0</v>
      </c>
      <c r="J1739" s="16"/>
    </row>
    <row r="1740" spans="1:10" ht="30.75" thickBot="1" x14ac:dyDescent="0.3">
      <c r="A1740" s="8">
        <v>1739</v>
      </c>
      <c r="B1740" s="9" t="s">
        <v>22</v>
      </c>
      <c r="C1740" s="9" t="s">
        <v>1468</v>
      </c>
      <c r="D1740" s="10">
        <v>44893</v>
      </c>
      <c r="E1740" s="21">
        <v>721</v>
      </c>
      <c r="F1740" s="11">
        <v>0</v>
      </c>
      <c r="J1740" s="16"/>
    </row>
    <row r="1741" spans="1:10" ht="30.75" thickBot="1" x14ac:dyDescent="0.3">
      <c r="A1741" s="8">
        <v>1740</v>
      </c>
      <c r="B1741" s="9" t="s">
        <v>24</v>
      </c>
      <c r="C1741" s="9" t="s">
        <v>1469</v>
      </c>
      <c r="D1741" s="10">
        <v>44728</v>
      </c>
      <c r="E1741" s="21">
        <v>599</v>
      </c>
      <c r="F1741" s="11">
        <v>0</v>
      </c>
      <c r="J1741" s="16"/>
    </row>
    <row r="1742" spans="1:10" ht="30.75" thickBot="1" x14ac:dyDescent="0.3">
      <c r="A1742" s="4">
        <v>1741</v>
      </c>
      <c r="B1742" s="5" t="s">
        <v>6</v>
      </c>
      <c r="C1742" s="5" t="s">
        <v>1470</v>
      </c>
      <c r="D1742" s="6">
        <v>44794</v>
      </c>
      <c r="E1742" s="20">
        <v>440</v>
      </c>
      <c r="F1742" s="7">
        <v>0</v>
      </c>
      <c r="J1742" s="16"/>
    </row>
    <row r="1743" spans="1:10" ht="15.75" thickBot="1" x14ac:dyDescent="0.3">
      <c r="A1743" s="4">
        <v>1742</v>
      </c>
      <c r="B1743" s="5" t="s">
        <v>8</v>
      </c>
      <c r="C1743" s="5" t="s">
        <v>1471</v>
      </c>
      <c r="D1743" s="6">
        <v>44845</v>
      </c>
      <c r="E1743" s="20">
        <v>739</v>
      </c>
      <c r="F1743" s="7">
        <v>0</v>
      </c>
      <c r="J1743" s="16"/>
    </row>
    <row r="1744" spans="1:10" ht="30.75" thickBot="1" x14ac:dyDescent="0.3">
      <c r="A1744" s="8">
        <v>1743</v>
      </c>
      <c r="B1744" s="9" t="s">
        <v>10</v>
      </c>
      <c r="C1744" s="9" t="s">
        <v>1472</v>
      </c>
      <c r="D1744" s="10">
        <v>45012</v>
      </c>
      <c r="E1744" s="21">
        <v>556</v>
      </c>
      <c r="F1744" s="11">
        <v>0</v>
      </c>
      <c r="J1744" s="16"/>
    </row>
    <row r="1745" spans="1:10" ht="30.75" thickBot="1" x14ac:dyDescent="0.3">
      <c r="A1745" s="8">
        <v>1744</v>
      </c>
      <c r="B1745" s="9" t="s">
        <v>12</v>
      </c>
      <c r="C1745" s="9" t="s">
        <v>1473</v>
      </c>
      <c r="D1745" s="10">
        <v>44654</v>
      </c>
      <c r="E1745" s="21">
        <v>642</v>
      </c>
      <c r="F1745" s="11">
        <v>0</v>
      </c>
      <c r="J1745" s="16"/>
    </row>
    <row r="1746" spans="1:10" ht="30.75" thickBot="1" x14ac:dyDescent="0.3">
      <c r="A1746" s="4">
        <v>1745</v>
      </c>
      <c r="B1746" s="5" t="s">
        <v>14</v>
      </c>
      <c r="C1746" s="5" t="s">
        <v>1474</v>
      </c>
      <c r="D1746" s="6">
        <v>44823</v>
      </c>
      <c r="E1746" s="20">
        <v>968</v>
      </c>
      <c r="F1746" s="7">
        <v>0</v>
      </c>
      <c r="J1746" s="16"/>
    </row>
    <row r="1747" spans="1:10" ht="30.75" thickBot="1" x14ac:dyDescent="0.3">
      <c r="A1747" s="4">
        <v>1746</v>
      </c>
      <c r="B1747" s="5" t="s">
        <v>16</v>
      </c>
      <c r="C1747" s="5" t="s">
        <v>1475</v>
      </c>
      <c r="D1747" s="6">
        <v>44931</v>
      </c>
      <c r="E1747" s="20">
        <v>958</v>
      </c>
      <c r="F1747" s="7">
        <v>0</v>
      </c>
      <c r="J1747" s="16"/>
    </row>
    <row r="1748" spans="1:10" ht="15.75" thickBot="1" x14ac:dyDescent="0.3">
      <c r="A1748" s="8">
        <v>1747</v>
      </c>
      <c r="B1748" s="9" t="s">
        <v>18</v>
      </c>
      <c r="C1748" s="9" t="s">
        <v>1476</v>
      </c>
      <c r="D1748" s="10">
        <v>44732</v>
      </c>
      <c r="E1748" s="21">
        <v>475</v>
      </c>
      <c r="F1748" s="11">
        <v>0</v>
      </c>
      <c r="J1748" s="16"/>
    </row>
    <row r="1749" spans="1:10" ht="15.75" thickBot="1" x14ac:dyDescent="0.3">
      <c r="A1749" s="8">
        <v>1748</v>
      </c>
      <c r="B1749" s="9" t="s">
        <v>20</v>
      </c>
      <c r="C1749" s="9" t="s">
        <v>1477</v>
      </c>
      <c r="D1749" s="10">
        <v>44906</v>
      </c>
      <c r="E1749" s="21">
        <v>477</v>
      </c>
      <c r="F1749" s="11">
        <v>0</v>
      </c>
      <c r="J1749" s="16"/>
    </row>
    <row r="1750" spans="1:10" ht="30.75" thickBot="1" x14ac:dyDescent="0.3">
      <c r="A1750" s="4">
        <v>1749</v>
      </c>
      <c r="B1750" s="5" t="s">
        <v>22</v>
      </c>
      <c r="C1750" s="5" t="s">
        <v>1478</v>
      </c>
      <c r="D1750" s="6">
        <v>44797</v>
      </c>
      <c r="E1750" s="20">
        <v>929</v>
      </c>
      <c r="F1750" s="7">
        <v>0</v>
      </c>
      <c r="J1750" s="16"/>
    </row>
    <row r="1751" spans="1:10" ht="30.75" thickBot="1" x14ac:dyDescent="0.3">
      <c r="A1751" s="4">
        <v>1750</v>
      </c>
      <c r="B1751" s="5" t="s">
        <v>24</v>
      </c>
      <c r="C1751" s="5" t="s">
        <v>1479</v>
      </c>
      <c r="D1751" s="6">
        <v>44673</v>
      </c>
      <c r="E1751" s="20">
        <v>630</v>
      </c>
      <c r="F1751" s="7">
        <v>0</v>
      </c>
      <c r="J1751" s="16"/>
    </row>
    <row r="1752" spans="1:10" ht="30.75" thickBot="1" x14ac:dyDescent="0.3">
      <c r="A1752" s="8">
        <v>1751</v>
      </c>
      <c r="B1752" s="9" t="s">
        <v>6</v>
      </c>
      <c r="C1752" s="9" t="s">
        <v>1480</v>
      </c>
      <c r="D1752" s="10">
        <v>44821</v>
      </c>
      <c r="E1752" s="21">
        <v>585</v>
      </c>
      <c r="F1752" s="11">
        <v>0</v>
      </c>
      <c r="J1752" s="16"/>
    </row>
    <row r="1753" spans="1:10" ht="15.75" thickBot="1" x14ac:dyDescent="0.3">
      <c r="A1753" s="8">
        <v>1752</v>
      </c>
      <c r="B1753" s="9" t="s">
        <v>8</v>
      </c>
      <c r="C1753" s="9" t="s">
        <v>1481</v>
      </c>
      <c r="D1753" s="10">
        <v>44735</v>
      </c>
      <c r="E1753" s="21">
        <v>729</v>
      </c>
      <c r="F1753" s="11">
        <v>0</v>
      </c>
      <c r="J1753" s="16"/>
    </row>
    <row r="1754" spans="1:10" ht="30.75" thickBot="1" x14ac:dyDescent="0.3">
      <c r="A1754" s="4">
        <v>1753</v>
      </c>
      <c r="B1754" s="5" t="s">
        <v>10</v>
      </c>
      <c r="C1754" s="5" t="s">
        <v>1482</v>
      </c>
      <c r="D1754" s="6">
        <v>44667</v>
      </c>
      <c r="E1754" s="20">
        <v>962</v>
      </c>
      <c r="F1754" s="7">
        <v>0</v>
      </c>
      <c r="J1754" s="16"/>
    </row>
    <row r="1755" spans="1:10" ht="30.75" thickBot="1" x14ac:dyDescent="0.3">
      <c r="A1755" s="4">
        <v>1754</v>
      </c>
      <c r="B1755" s="5" t="s">
        <v>12</v>
      </c>
      <c r="C1755" s="5" t="s">
        <v>1483</v>
      </c>
      <c r="D1755" s="6">
        <v>45012</v>
      </c>
      <c r="E1755" s="20">
        <v>901</v>
      </c>
      <c r="F1755" s="7">
        <v>0</v>
      </c>
      <c r="J1755" s="16"/>
    </row>
    <row r="1756" spans="1:10" ht="30.75" thickBot="1" x14ac:dyDescent="0.3">
      <c r="A1756" s="8">
        <v>1755</v>
      </c>
      <c r="B1756" s="9" t="s">
        <v>14</v>
      </c>
      <c r="C1756" s="9" t="s">
        <v>1484</v>
      </c>
      <c r="D1756" s="10">
        <v>44986</v>
      </c>
      <c r="E1756" s="21">
        <v>529</v>
      </c>
      <c r="F1756" s="11">
        <v>0</v>
      </c>
      <c r="J1756" s="16"/>
    </row>
    <row r="1757" spans="1:10" ht="30.75" thickBot="1" x14ac:dyDescent="0.3">
      <c r="A1757" s="8">
        <v>1756</v>
      </c>
      <c r="B1757" s="9" t="s">
        <v>16</v>
      </c>
      <c r="C1757" s="9" t="s">
        <v>1485</v>
      </c>
      <c r="D1757" s="10">
        <v>44713</v>
      </c>
      <c r="E1757" s="21">
        <v>475</v>
      </c>
      <c r="F1757" s="11">
        <v>0</v>
      </c>
      <c r="J1757" s="16"/>
    </row>
    <row r="1758" spans="1:10" ht="15.75" thickBot="1" x14ac:dyDescent="0.3">
      <c r="A1758" s="4">
        <v>1757</v>
      </c>
      <c r="B1758" s="5" t="s">
        <v>18</v>
      </c>
      <c r="C1758" s="5" t="s">
        <v>1486</v>
      </c>
      <c r="D1758" s="6">
        <v>44695</v>
      </c>
      <c r="E1758" s="20">
        <v>701</v>
      </c>
      <c r="F1758" s="7">
        <v>0</v>
      </c>
      <c r="J1758" s="16"/>
    </row>
    <row r="1759" spans="1:10" ht="15.75" thickBot="1" x14ac:dyDescent="0.3">
      <c r="A1759" s="4">
        <v>1758</v>
      </c>
      <c r="B1759" s="5" t="s">
        <v>20</v>
      </c>
      <c r="C1759" s="5" t="s">
        <v>1487</v>
      </c>
      <c r="D1759" s="6">
        <v>44868</v>
      </c>
      <c r="E1759" s="20">
        <v>796</v>
      </c>
      <c r="F1759" s="7">
        <v>0</v>
      </c>
      <c r="J1759" s="16"/>
    </row>
    <row r="1760" spans="1:10" ht="30.75" thickBot="1" x14ac:dyDescent="0.3">
      <c r="A1760" s="8">
        <v>1759</v>
      </c>
      <c r="B1760" s="9" t="s">
        <v>22</v>
      </c>
      <c r="C1760" s="9" t="s">
        <v>1488</v>
      </c>
      <c r="D1760" s="10">
        <v>44930</v>
      </c>
      <c r="E1760" s="21">
        <v>645</v>
      </c>
      <c r="F1760" s="11">
        <v>0</v>
      </c>
      <c r="J1760" s="16"/>
    </row>
    <row r="1761" spans="1:10" ht="30.75" thickBot="1" x14ac:dyDescent="0.3">
      <c r="A1761" s="8">
        <v>1760</v>
      </c>
      <c r="B1761" s="9" t="s">
        <v>24</v>
      </c>
      <c r="C1761" s="9" t="s">
        <v>1489</v>
      </c>
      <c r="D1761" s="10">
        <v>44895</v>
      </c>
      <c r="E1761" s="21">
        <v>445</v>
      </c>
      <c r="F1761" s="11">
        <v>0</v>
      </c>
      <c r="J1761" s="16"/>
    </row>
    <row r="1762" spans="1:10" ht="30.75" thickBot="1" x14ac:dyDescent="0.3">
      <c r="A1762" s="4">
        <v>1761</v>
      </c>
      <c r="B1762" s="5" t="s">
        <v>6</v>
      </c>
      <c r="C1762" s="5" t="s">
        <v>1490</v>
      </c>
      <c r="D1762" s="6">
        <v>44825</v>
      </c>
      <c r="E1762" s="20">
        <v>609</v>
      </c>
      <c r="F1762" s="7">
        <v>0</v>
      </c>
      <c r="J1762" s="16"/>
    </row>
    <row r="1763" spans="1:10" ht="15.75" thickBot="1" x14ac:dyDescent="0.3">
      <c r="A1763" s="4">
        <v>1762</v>
      </c>
      <c r="B1763" s="5" t="s">
        <v>8</v>
      </c>
      <c r="C1763" s="5" t="s">
        <v>1491</v>
      </c>
      <c r="D1763" s="6">
        <v>44625</v>
      </c>
      <c r="E1763" s="20">
        <v>431</v>
      </c>
      <c r="F1763" s="7">
        <v>0</v>
      </c>
      <c r="J1763" s="16"/>
    </row>
    <row r="1764" spans="1:10" ht="30.75" thickBot="1" x14ac:dyDescent="0.3">
      <c r="A1764" s="8">
        <v>1763</v>
      </c>
      <c r="B1764" s="9" t="s">
        <v>10</v>
      </c>
      <c r="C1764" s="9" t="s">
        <v>1492</v>
      </c>
      <c r="D1764" s="10">
        <v>44748</v>
      </c>
      <c r="E1764" s="21">
        <v>708</v>
      </c>
      <c r="F1764" s="11">
        <v>0</v>
      </c>
      <c r="J1764" s="16"/>
    </row>
    <row r="1765" spans="1:10" ht="30.75" thickBot="1" x14ac:dyDescent="0.3">
      <c r="A1765" s="8">
        <v>1764</v>
      </c>
      <c r="B1765" s="9" t="s">
        <v>12</v>
      </c>
      <c r="C1765" s="9" t="s">
        <v>1493</v>
      </c>
      <c r="D1765" s="10">
        <v>44905</v>
      </c>
      <c r="E1765" s="21">
        <v>663</v>
      </c>
      <c r="F1765" s="11">
        <v>0</v>
      </c>
      <c r="J1765" s="16"/>
    </row>
    <row r="1766" spans="1:10" ht="30.75" thickBot="1" x14ac:dyDescent="0.3">
      <c r="A1766" s="4">
        <v>1765</v>
      </c>
      <c r="B1766" s="5" t="s">
        <v>14</v>
      </c>
      <c r="C1766" s="5" t="s">
        <v>1494</v>
      </c>
      <c r="D1766" s="6">
        <v>44974</v>
      </c>
      <c r="E1766" s="20">
        <v>663</v>
      </c>
      <c r="F1766" s="7">
        <v>0</v>
      </c>
      <c r="J1766" s="16"/>
    </row>
    <row r="1767" spans="1:10" ht="30.75" thickBot="1" x14ac:dyDescent="0.3">
      <c r="A1767" s="4">
        <v>1766</v>
      </c>
      <c r="B1767" s="5" t="s">
        <v>16</v>
      </c>
      <c r="C1767" s="5" t="s">
        <v>1495</v>
      </c>
      <c r="D1767" s="6">
        <v>44938</v>
      </c>
      <c r="E1767" s="20">
        <v>678</v>
      </c>
      <c r="F1767" s="7">
        <v>0</v>
      </c>
      <c r="J1767" s="16"/>
    </row>
    <row r="1768" spans="1:10" ht="15.75" thickBot="1" x14ac:dyDescent="0.3">
      <c r="A1768" s="8">
        <v>1767</v>
      </c>
      <c r="B1768" s="9" t="s">
        <v>18</v>
      </c>
      <c r="C1768" s="9" t="s">
        <v>1496</v>
      </c>
      <c r="D1768" s="10">
        <v>44733</v>
      </c>
      <c r="E1768" s="21">
        <v>961</v>
      </c>
      <c r="F1768" s="11">
        <v>0</v>
      </c>
      <c r="J1768" s="16"/>
    </row>
    <row r="1769" spans="1:10" ht="15.75" thickBot="1" x14ac:dyDescent="0.3">
      <c r="A1769" s="8">
        <v>1768</v>
      </c>
      <c r="B1769" s="9" t="s">
        <v>20</v>
      </c>
      <c r="C1769" s="9" t="s">
        <v>1497</v>
      </c>
      <c r="D1769" s="10">
        <v>44967</v>
      </c>
      <c r="E1769" s="21">
        <v>415</v>
      </c>
      <c r="F1769" s="11">
        <v>0</v>
      </c>
      <c r="J1769" s="16"/>
    </row>
    <row r="1770" spans="1:10" ht="30.75" thickBot="1" x14ac:dyDescent="0.3">
      <c r="A1770" s="4">
        <v>1769</v>
      </c>
      <c r="B1770" s="5" t="s">
        <v>22</v>
      </c>
      <c r="C1770" s="5" t="s">
        <v>1498</v>
      </c>
      <c r="D1770" s="6">
        <v>44845</v>
      </c>
      <c r="E1770" s="20">
        <v>568</v>
      </c>
      <c r="F1770" s="7">
        <v>0</v>
      </c>
      <c r="J1770" s="16"/>
    </row>
    <row r="1771" spans="1:10" ht="30.75" thickBot="1" x14ac:dyDescent="0.3">
      <c r="A1771" s="4">
        <v>1770</v>
      </c>
      <c r="B1771" s="5" t="s">
        <v>24</v>
      </c>
      <c r="C1771" s="5" t="s">
        <v>1499</v>
      </c>
      <c r="D1771" s="6">
        <v>44715</v>
      </c>
      <c r="E1771" s="20">
        <v>737</v>
      </c>
      <c r="F1771" s="7">
        <v>0</v>
      </c>
      <c r="J1771" s="16"/>
    </row>
    <row r="1772" spans="1:10" ht="30.75" thickBot="1" x14ac:dyDescent="0.3">
      <c r="A1772" s="8">
        <v>1771</v>
      </c>
      <c r="B1772" s="9" t="s">
        <v>6</v>
      </c>
      <c r="C1772" s="9" t="s">
        <v>1500</v>
      </c>
      <c r="D1772" s="10">
        <v>44929</v>
      </c>
      <c r="E1772" s="21">
        <v>601</v>
      </c>
      <c r="F1772" s="11">
        <v>0</v>
      </c>
      <c r="J1772" s="16"/>
    </row>
    <row r="1773" spans="1:10" ht="15.75" thickBot="1" x14ac:dyDescent="0.3">
      <c r="A1773" s="8">
        <v>1772</v>
      </c>
      <c r="B1773" s="9" t="s">
        <v>8</v>
      </c>
      <c r="C1773" s="9" t="s">
        <v>1501</v>
      </c>
      <c r="D1773" s="10">
        <v>44856</v>
      </c>
      <c r="E1773" s="21">
        <v>831</v>
      </c>
      <c r="F1773" s="11">
        <v>0</v>
      </c>
      <c r="J1773" s="16"/>
    </row>
    <row r="1774" spans="1:10" ht="30.75" thickBot="1" x14ac:dyDescent="0.3">
      <c r="A1774" s="4">
        <v>1773</v>
      </c>
      <c r="B1774" s="5" t="s">
        <v>10</v>
      </c>
      <c r="C1774" s="5" t="s">
        <v>1502</v>
      </c>
      <c r="D1774" s="6">
        <v>44690</v>
      </c>
      <c r="E1774" s="20">
        <v>780</v>
      </c>
      <c r="F1774" s="7">
        <v>0</v>
      </c>
      <c r="J1774" s="16"/>
    </row>
    <row r="1775" spans="1:10" ht="30.75" thickBot="1" x14ac:dyDescent="0.3">
      <c r="A1775" s="4">
        <v>1774</v>
      </c>
      <c r="B1775" s="5" t="s">
        <v>12</v>
      </c>
      <c r="C1775" s="5" t="s">
        <v>1503</v>
      </c>
      <c r="D1775" s="6">
        <v>44930</v>
      </c>
      <c r="E1775" s="20">
        <v>962</v>
      </c>
      <c r="F1775" s="7">
        <v>0</v>
      </c>
      <c r="J1775" s="16"/>
    </row>
    <row r="1776" spans="1:10" ht="30.75" thickBot="1" x14ac:dyDescent="0.3">
      <c r="A1776" s="8">
        <v>1775</v>
      </c>
      <c r="B1776" s="9" t="s">
        <v>14</v>
      </c>
      <c r="C1776" s="9" t="s">
        <v>1504</v>
      </c>
      <c r="D1776" s="10">
        <v>44618</v>
      </c>
      <c r="E1776" s="21">
        <v>993</v>
      </c>
      <c r="F1776" s="11">
        <v>0</v>
      </c>
      <c r="J1776" s="16"/>
    </row>
    <row r="1777" spans="1:10" ht="30.75" thickBot="1" x14ac:dyDescent="0.3">
      <c r="A1777" s="8">
        <v>1776</v>
      </c>
      <c r="B1777" s="9" t="s">
        <v>16</v>
      </c>
      <c r="C1777" s="9" t="s">
        <v>1505</v>
      </c>
      <c r="D1777" s="10">
        <v>44798</v>
      </c>
      <c r="E1777" s="21">
        <v>456</v>
      </c>
      <c r="F1777" s="11">
        <v>0</v>
      </c>
      <c r="J1777" s="16"/>
    </row>
    <row r="1778" spans="1:10" ht="15.75" thickBot="1" x14ac:dyDescent="0.3">
      <c r="A1778" s="4">
        <v>1777</v>
      </c>
      <c r="B1778" s="5" t="s">
        <v>18</v>
      </c>
      <c r="C1778" s="5" t="s">
        <v>1506</v>
      </c>
      <c r="D1778" s="6">
        <v>44664</v>
      </c>
      <c r="E1778" s="20">
        <v>705</v>
      </c>
      <c r="F1778" s="7">
        <v>0</v>
      </c>
      <c r="J1778" s="16"/>
    </row>
    <row r="1779" spans="1:10" ht="15.75" thickBot="1" x14ac:dyDescent="0.3">
      <c r="A1779" s="4">
        <v>1778</v>
      </c>
      <c r="B1779" s="5" t="s">
        <v>20</v>
      </c>
      <c r="C1779" s="5" t="s">
        <v>1507</v>
      </c>
      <c r="D1779" s="6">
        <v>44811</v>
      </c>
      <c r="E1779" s="20">
        <v>896</v>
      </c>
      <c r="F1779" s="7">
        <v>0</v>
      </c>
      <c r="J1779" s="16"/>
    </row>
    <row r="1780" spans="1:10" ht="30.75" thickBot="1" x14ac:dyDescent="0.3">
      <c r="A1780" s="8">
        <v>1779</v>
      </c>
      <c r="B1780" s="9" t="s">
        <v>22</v>
      </c>
      <c r="C1780" s="9" t="s">
        <v>1508</v>
      </c>
      <c r="D1780" s="10">
        <v>44772</v>
      </c>
      <c r="E1780" s="21">
        <v>683</v>
      </c>
      <c r="F1780" s="11">
        <v>0</v>
      </c>
      <c r="J1780" s="16"/>
    </row>
    <row r="1781" spans="1:10" ht="30.75" thickBot="1" x14ac:dyDescent="0.3">
      <c r="A1781" s="8">
        <v>1780</v>
      </c>
      <c r="B1781" s="9" t="s">
        <v>24</v>
      </c>
      <c r="C1781" s="9" t="s">
        <v>1509</v>
      </c>
      <c r="D1781" s="10">
        <v>44939</v>
      </c>
      <c r="E1781" s="21">
        <v>890</v>
      </c>
      <c r="F1781" s="11">
        <v>0</v>
      </c>
      <c r="J1781" s="16"/>
    </row>
    <row r="1782" spans="1:10" ht="30.75" thickBot="1" x14ac:dyDescent="0.3">
      <c r="A1782" s="4">
        <v>1781</v>
      </c>
      <c r="B1782" s="5" t="s">
        <v>6</v>
      </c>
      <c r="C1782" s="5" t="s">
        <v>1510</v>
      </c>
      <c r="D1782" s="6">
        <v>44960</v>
      </c>
      <c r="E1782" s="20">
        <v>686</v>
      </c>
      <c r="F1782" s="7">
        <v>0</v>
      </c>
      <c r="J1782" s="16"/>
    </row>
    <row r="1783" spans="1:10" ht="15.75" thickBot="1" x14ac:dyDescent="0.3">
      <c r="A1783" s="4">
        <v>1782</v>
      </c>
      <c r="B1783" s="5" t="s">
        <v>8</v>
      </c>
      <c r="C1783" s="5" t="s">
        <v>1511</v>
      </c>
      <c r="D1783" s="6">
        <v>44649</v>
      </c>
      <c r="E1783" s="20">
        <v>410</v>
      </c>
      <c r="F1783" s="7">
        <v>0</v>
      </c>
      <c r="J1783" s="16"/>
    </row>
    <row r="1784" spans="1:10" ht="30.75" thickBot="1" x14ac:dyDescent="0.3">
      <c r="A1784" s="8">
        <v>1783</v>
      </c>
      <c r="B1784" s="9" t="s">
        <v>10</v>
      </c>
      <c r="C1784" s="9" t="s">
        <v>1512</v>
      </c>
      <c r="D1784" s="10">
        <v>44751</v>
      </c>
      <c r="E1784" s="21">
        <v>535</v>
      </c>
      <c r="F1784" s="11">
        <v>0</v>
      </c>
      <c r="J1784" s="16"/>
    </row>
    <row r="1785" spans="1:10" ht="30.75" thickBot="1" x14ac:dyDescent="0.3">
      <c r="A1785" s="8">
        <v>1784</v>
      </c>
      <c r="B1785" s="9" t="s">
        <v>12</v>
      </c>
      <c r="C1785" s="9" t="s">
        <v>1513</v>
      </c>
      <c r="D1785" s="10">
        <v>44672</v>
      </c>
      <c r="E1785" s="21">
        <v>689</v>
      </c>
      <c r="F1785" s="11">
        <v>0</v>
      </c>
      <c r="J1785" s="16"/>
    </row>
    <row r="1786" spans="1:10" ht="30.75" thickBot="1" x14ac:dyDescent="0.3">
      <c r="A1786" s="4">
        <v>1785</v>
      </c>
      <c r="B1786" s="5" t="s">
        <v>14</v>
      </c>
      <c r="C1786" s="5" t="s">
        <v>1514</v>
      </c>
      <c r="D1786" s="6">
        <v>44645</v>
      </c>
      <c r="E1786" s="20">
        <v>521</v>
      </c>
      <c r="F1786" s="7">
        <v>0</v>
      </c>
      <c r="J1786" s="16"/>
    </row>
    <row r="1787" spans="1:10" ht="30.75" thickBot="1" x14ac:dyDescent="0.3">
      <c r="A1787" s="4">
        <v>1786</v>
      </c>
      <c r="B1787" s="5" t="s">
        <v>16</v>
      </c>
      <c r="C1787" s="5" t="s">
        <v>1515</v>
      </c>
      <c r="D1787" s="6">
        <v>44726</v>
      </c>
      <c r="E1787" s="20">
        <v>763</v>
      </c>
      <c r="F1787" s="7">
        <v>0</v>
      </c>
      <c r="J1787" s="16"/>
    </row>
    <row r="1788" spans="1:10" ht="15.75" thickBot="1" x14ac:dyDescent="0.3">
      <c r="A1788" s="8">
        <v>1787</v>
      </c>
      <c r="B1788" s="9" t="s">
        <v>18</v>
      </c>
      <c r="C1788" s="9" t="s">
        <v>1516</v>
      </c>
      <c r="D1788" s="10">
        <v>44987</v>
      </c>
      <c r="E1788" s="21">
        <v>730</v>
      </c>
      <c r="F1788" s="11">
        <v>0</v>
      </c>
      <c r="J1788" s="16"/>
    </row>
    <row r="1789" spans="1:10" ht="15.75" thickBot="1" x14ac:dyDescent="0.3">
      <c r="A1789" s="8">
        <v>1788</v>
      </c>
      <c r="B1789" s="9" t="s">
        <v>20</v>
      </c>
      <c r="C1789" s="9" t="s">
        <v>1517</v>
      </c>
      <c r="D1789" s="10">
        <v>44743</v>
      </c>
      <c r="E1789" s="21">
        <v>702</v>
      </c>
      <c r="F1789" s="11">
        <v>0</v>
      </c>
      <c r="J1789" s="16"/>
    </row>
    <row r="1790" spans="1:10" ht="30.75" thickBot="1" x14ac:dyDescent="0.3">
      <c r="A1790" s="4">
        <v>1789</v>
      </c>
      <c r="B1790" s="5" t="s">
        <v>22</v>
      </c>
      <c r="C1790" s="5" t="s">
        <v>1518</v>
      </c>
      <c r="D1790" s="6">
        <v>44916</v>
      </c>
      <c r="E1790" s="20">
        <v>996</v>
      </c>
      <c r="F1790" s="7">
        <v>0</v>
      </c>
      <c r="J1790" s="16"/>
    </row>
    <row r="1791" spans="1:10" ht="30.75" thickBot="1" x14ac:dyDescent="0.3">
      <c r="A1791" s="4">
        <v>1790</v>
      </c>
      <c r="B1791" s="5" t="s">
        <v>24</v>
      </c>
      <c r="C1791" s="5" t="s">
        <v>1519</v>
      </c>
      <c r="D1791" s="6">
        <v>44839</v>
      </c>
      <c r="E1791" s="20">
        <v>821</v>
      </c>
      <c r="F1791" s="7">
        <v>0</v>
      </c>
      <c r="J1791" s="16"/>
    </row>
    <row r="1792" spans="1:10" ht="30.75" thickBot="1" x14ac:dyDescent="0.3">
      <c r="A1792" s="8">
        <v>1791</v>
      </c>
      <c r="B1792" s="9" t="s">
        <v>6</v>
      </c>
      <c r="C1792" s="9" t="s">
        <v>1520</v>
      </c>
      <c r="D1792" s="10">
        <v>44834</v>
      </c>
      <c r="E1792" s="21">
        <v>758</v>
      </c>
      <c r="F1792" s="11">
        <v>0</v>
      </c>
      <c r="J1792" s="16"/>
    </row>
    <row r="1793" spans="1:10" ht="15.75" thickBot="1" x14ac:dyDescent="0.3">
      <c r="A1793" s="8">
        <v>1792</v>
      </c>
      <c r="B1793" s="9" t="s">
        <v>8</v>
      </c>
      <c r="C1793" s="9" t="s">
        <v>1521</v>
      </c>
      <c r="D1793" s="10">
        <v>44777</v>
      </c>
      <c r="E1793" s="21">
        <v>436</v>
      </c>
      <c r="F1793" s="11">
        <v>0</v>
      </c>
      <c r="J1793" s="16"/>
    </row>
    <row r="1794" spans="1:10" ht="30.75" thickBot="1" x14ac:dyDescent="0.3">
      <c r="A1794" s="4">
        <v>1793</v>
      </c>
      <c r="B1794" s="5" t="s">
        <v>10</v>
      </c>
      <c r="C1794" s="5" t="s">
        <v>1522</v>
      </c>
      <c r="D1794" s="6">
        <v>44952</v>
      </c>
      <c r="E1794" s="20">
        <v>593</v>
      </c>
      <c r="F1794" s="7">
        <v>0</v>
      </c>
      <c r="J1794" s="16"/>
    </row>
    <row r="1795" spans="1:10" ht="30.75" thickBot="1" x14ac:dyDescent="0.3">
      <c r="A1795" s="4">
        <v>1794</v>
      </c>
      <c r="B1795" s="5" t="s">
        <v>12</v>
      </c>
      <c r="C1795" s="5" t="s">
        <v>1523</v>
      </c>
      <c r="D1795" s="6">
        <v>44783</v>
      </c>
      <c r="E1795" s="20">
        <v>840</v>
      </c>
      <c r="F1795" s="7">
        <v>0</v>
      </c>
      <c r="J1795" s="16"/>
    </row>
    <row r="1796" spans="1:10" ht="30.75" thickBot="1" x14ac:dyDescent="0.3">
      <c r="A1796" s="8">
        <v>1795</v>
      </c>
      <c r="B1796" s="9" t="s">
        <v>14</v>
      </c>
      <c r="C1796" s="9" t="s">
        <v>1524</v>
      </c>
      <c r="D1796" s="10">
        <v>44797</v>
      </c>
      <c r="E1796" s="21">
        <v>621</v>
      </c>
      <c r="F1796" s="11">
        <v>0</v>
      </c>
      <c r="J1796" s="16"/>
    </row>
    <row r="1797" spans="1:10" ht="30.75" thickBot="1" x14ac:dyDescent="0.3">
      <c r="A1797" s="8">
        <v>1796</v>
      </c>
      <c r="B1797" s="9" t="s">
        <v>16</v>
      </c>
      <c r="C1797" s="9" t="s">
        <v>1525</v>
      </c>
      <c r="D1797" s="10">
        <v>44598</v>
      </c>
      <c r="E1797" s="21">
        <v>487</v>
      </c>
      <c r="F1797" s="11">
        <v>0</v>
      </c>
      <c r="J1797" s="16"/>
    </row>
    <row r="1798" spans="1:10" ht="15.75" thickBot="1" x14ac:dyDescent="0.3">
      <c r="A1798" s="4">
        <v>1797</v>
      </c>
      <c r="B1798" s="5" t="s">
        <v>18</v>
      </c>
      <c r="C1798" s="5" t="s">
        <v>1526</v>
      </c>
      <c r="D1798" s="6">
        <v>44922</v>
      </c>
      <c r="E1798" s="20">
        <v>748</v>
      </c>
      <c r="F1798" s="7">
        <v>0</v>
      </c>
      <c r="J1798" s="16"/>
    </row>
    <row r="1799" spans="1:10" ht="15.75" thickBot="1" x14ac:dyDescent="0.3">
      <c r="A1799" s="4">
        <v>1798</v>
      </c>
      <c r="B1799" s="5" t="s">
        <v>20</v>
      </c>
      <c r="C1799" s="5" t="s">
        <v>1527</v>
      </c>
      <c r="D1799" s="6">
        <v>44890</v>
      </c>
      <c r="E1799" s="20">
        <v>998</v>
      </c>
      <c r="F1799" s="7">
        <v>0</v>
      </c>
      <c r="J1799" s="16"/>
    </row>
    <row r="1800" spans="1:10" ht="30.75" thickBot="1" x14ac:dyDescent="0.3">
      <c r="A1800" s="8">
        <v>1799</v>
      </c>
      <c r="B1800" s="9" t="s">
        <v>22</v>
      </c>
      <c r="C1800" s="9" t="s">
        <v>1528</v>
      </c>
      <c r="D1800" s="10">
        <v>44674</v>
      </c>
      <c r="E1800" s="21">
        <v>868</v>
      </c>
      <c r="F1800" s="11">
        <v>0</v>
      </c>
      <c r="J1800" s="16"/>
    </row>
    <row r="1801" spans="1:10" ht="30.75" thickBot="1" x14ac:dyDescent="0.3">
      <c r="A1801" s="8">
        <v>1800</v>
      </c>
      <c r="B1801" s="9" t="s">
        <v>24</v>
      </c>
      <c r="C1801" s="9" t="s">
        <v>1529</v>
      </c>
      <c r="D1801" s="10">
        <v>44922</v>
      </c>
      <c r="E1801" s="21">
        <v>812</v>
      </c>
      <c r="F1801" s="11">
        <v>0</v>
      </c>
      <c r="J1801" s="16"/>
    </row>
    <row r="1802" spans="1:10" ht="30.75" thickBot="1" x14ac:dyDescent="0.3">
      <c r="A1802" s="4">
        <v>1801</v>
      </c>
      <c r="B1802" s="5" t="s">
        <v>6</v>
      </c>
      <c r="C1802" s="5" t="s">
        <v>1530</v>
      </c>
      <c r="D1802" s="6">
        <v>44771</v>
      </c>
      <c r="E1802" s="20">
        <v>620</v>
      </c>
      <c r="F1802" s="7">
        <v>0</v>
      </c>
      <c r="J1802" s="16"/>
    </row>
    <row r="1803" spans="1:10" ht="15.75" thickBot="1" x14ac:dyDescent="0.3">
      <c r="A1803" s="4">
        <v>1802</v>
      </c>
      <c r="B1803" s="5" t="s">
        <v>8</v>
      </c>
      <c r="C1803" s="5" t="s">
        <v>1531</v>
      </c>
      <c r="D1803" s="6">
        <v>44585</v>
      </c>
      <c r="E1803" s="20">
        <v>446</v>
      </c>
      <c r="F1803" s="7">
        <v>0</v>
      </c>
      <c r="J1803" s="16"/>
    </row>
    <row r="1804" spans="1:10" ht="30.75" thickBot="1" x14ac:dyDescent="0.3">
      <c r="A1804" s="8">
        <v>1803</v>
      </c>
      <c r="B1804" s="9" t="s">
        <v>10</v>
      </c>
      <c r="C1804" s="9" t="s">
        <v>1532</v>
      </c>
      <c r="D1804" s="10">
        <v>45017</v>
      </c>
      <c r="E1804" s="21">
        <v>794</v>
      </c>
      <c r="F1804" s="11">
        <v>0</v>
      </c>
      <c r="J1804" s="16"/>
    </row>
    <row r="1805" spans="1:10" ht="30.75" thickBot="1" x14ac:dyDescent="0.3">
      <c r="A1805" s="8">
        <v>1804</v>
      </c>
      <c r="B1805" s="9" t="s">
        <v>12</v>
      </c>
      <c r="C1805" s="9" t="s">
        <v>1533</v>
      </c>
      <c r="D1805" s="10">
        <v>44752</v>
      </c>
      <c r="E1805" s="21">
        <v>683</v>
      </c>
      <c r="F1805" s="11">
        <v>0</v>
      </c>
      <c r="J1805" s="16"/>
    </row>
    <row r="1806" spans="1:10" ht="30.75" thickBot="1" x14ac:dyDescent="0.3">
      <c r="A1806" s="4">
        <v>1805</v>
      </c>
      <c r="B1806" s="5" t="s">
        <v>14</v>
      </c>
      <c r="C1806" s="5" t="s">
        <v>1534</v>
      </c>
      <c r="D1806" s="6">
        <v>44792</v>
      </c>
      <c r="E1806" s="20">
        <v>973</v>
      </c>
      <c r="F1806" s="7">
        <v>0</v>
      </c>
      <c r="J1806" s="16"/>
    </row>
    <row r="1807" spans="1:10" ht="30.75" thickBot="1" x14ac:dyDescent="0.3">
      <c r="A1807" s="4">
        <v>1806</v>
      </c>
      <c r="B1807" s="5" t="s">
        <v>16</v>
      </c>
      <c r="C1807" s="5" t="s">
        <v>1535</v>
      </c>
      <c r="D1807" s="6">
        <v>44660</v>
      </c>
      <c r="E1807" s="20">
        <v>735</v>
      </c>
      <c r="F1807" s="7">
        <v>0</v>
      </c>
      <c r="J1807" s="16"/>
    </row>
    <row r="1808" spans="1:10" ht="15.75" thickBot="1" x14ac:dyDescent="0.3">
      <c r="A1808" s="8">
        <v>1807</v>
      </c>
      <c r="B1808" s="9" t="s">
        <v>18</v>
      </c>
      <c r="C1808" s="9" t="s">
        <v>1536</v>
      </c>
      <c r="D1808" s="10">
        <v>45047</v>
      </c>
      <c r="E1808" s="21">
        <v>509</v>
      </c>
      <c r="F1808" s="11">
        <v>0</v>
      </c>
      <c r="J1808" s="16"/>
    </row>
    <row r="1809" spans="1:10" ht="15.75" thickBot="1" x14ac:dyDescent="0.3">
      <c r="A1809" s="8">
        <v>1808</v>
      </c>
      <c r="B1809" s="9" t="s">
        <v>20</v>
      </c>
      <c r="C1809" s="9" t="s">
        <v>1537</v>
      </c>
      <c r="D1809" s="10">
        <v>44822</v>
      </c>
      <c r="E1809" s="21">
        <v>900</v>
      </c>
      <c r="F1809" s="11">
        <v>0</v>
      </c>
      <c r="J1809" s="16"/>
    </row>
    <row r="1810" spans="1:10" ht="30.75" thickBot="1" x14ac:dyDescent="0.3">
      <c r="A1810" s="4">
        <v>1809</v>
      </c>
      <c r="B1810" s="5" t="s">
        <v>22</v>
      </c>
      <c r="C1810" s="5" t="s">
        <v>1538</v>
      </c>
      <c r="D1810" s="6">
        <v>44637</v>
      </c>
      <c r="E1810" s="20">
        <v>625</v>
      </c>
      <c r="F1810" s="7">
        <v>0</v>
      </c>
      <c r="J1810" s="16"/>
    </row>
    <row r="1811" spans="1:10" ht="30.75" thickBot="1" x14ac:dyDescent="0.3">
      <c r="A1811" s="4">
        <v>1810</v>
      </c>
      <c r="B1811" s="5" t="s">
        <v>24</v>
      </c>
      <c r="C1811" s="5" t="s">
        <v>1539</v>
      </c>
      <c r="D1811" s="6">
        <v>44562</v>
      </c>
      <c r="E1811" s="20">
        <v>508</v>
      </c>
      <c r="F1811" s="7">
        <v>0</v>
      </c>
      <c r="J1811" s="16"/>
    </row>
    <row r="1812" spans="1:10" ht="30.75" thickBot="1" x14ac:dyDescent="0.3">
      <c r="A1812" s="8">
        <v>1811</v>
      </c>
      <c r="B1812" s="9" t="s">
        <v>6</v>
      </c>
      <c r="C1812" s="9" t="s">
        <v>1540</v>
      </c>
      <c r="D1812" s="10">
        <v>44894</v>
      </c>
      <c r="E1812" s="21">
        <v>525</v>
      </c>
      <c r="F1812" s="11">
        <v>0</v>
      </c>
      <c r="J1812" s="16"/>
    </row>
    <row r="1813" spans="1:10" ht="15.75" thickBot="1" x14ac:dyDescent="0.3">
      <c r="A1813" s="8">
        <v>1812</v>
      </c>
      <c r="B1813" s="9" t="s">
        <v>8</v>
      </c>
      <c r="C1813" s="9" t="s">
        <v>1541</v>
      </c>
      <c r="D1813" s="10">
        <v>44961</v>
      </c>
      <c r="E1813" s="21">
        <v>413</v>
      </c>
      <c r="F1813" s="11">
        <v>0</v>
      </c>
      <c r="J1813" s="16"/>
    </row>
    <row r="1814" spans="1:10" ht="30.75" thickBot="1" x14ac:dyDescent="0.3">
      <c r="A1814" s="4">
        <v>1813</v>
      </c>
      <c r="B1814" s="5" t="s">
        <v>10</v>
      </c>
      <c r="C1814" s="5" t="s">
        <v>1542</v>
      </c>
      <c r="D1814" s="6">
        <v>44890</v>
      </c>
      <c r="E1814" s="20">
        <v>494</v>
      </c>
      <c r="F1814" s="7">
        <v>0</v>
      </c>
      <c r="J1814" s="16"/>
    </row>
    <row r="1815" spans="1:10" ht="30.75" thickBot="1" x14ac:dyDescent="0.3">
      <c r="A1815" s="4">
        <v>1814</v>
      </c>
      <c r="B1815" s="5" t="s">
        <v>12</v>
      </c>
      <c r="C1815" s="5" t="s">
        <v>1543</v>
      </c>
      <c r="D1815" s="6">
        <v>44996</v>
      </c>
      <c r="E1815" s="20">
        <v>960</v>
      </c>
      <c r="F1815" s="7">
        <v>0</v>
      </c>
      <c r="J1815" s="16"/>
    </row>
    <row r="1816" spans="1:10" ht="30.75" thickBot="1" x14ac:dyDescent="0.3">
      <c r="A1816" s="8">
        <v>1815</v>
      </c>
      <c r="B1816" s="9" t="s">
        <v>14</v>
      </c>
      <c r="C1816" s="9" t="s">
        <v>1544</v>
      </c>
      <c r="D1816" s="10">
        <v>44726</v>
      </c>
      <c r="E1816" s="21">
        <v>844</v>
      </c>
      <c r="F1816" s="11">
        <v>0</v>
      </c>
      <c r="J1816" s="16"/>
    </row>
    <row r="1817" spans="1:10" ht="30.75" thickBot="1" x14ac:dyDescent="0.3">
      <c r="A1817" s="8">
        <v>1816</v>
      </c>
      <c r="B1817" s="9" t="s">
        <v>16</v>
      </c>
      <c r="C1817" s="9" t="s">
        <v>1545</v>
      </c>
      <c r="D1817" s="10">
        <v>45047</v>
      </c>
      <c r="E1817" s="21">
        <v>972</v>
      </c>
      <c r="F1817" s="11">
        <v>0</v>
      </c>
      <c r="J1817" s="16"/>
    </row>
    <row r="1818" spans="1:10" ht="15.75" thickBot="1" x14ac:dyDescent="0.3">
      <c r="A1818" s="4">
        <v>1817</v>
      </c>
      <c r="B1818" s="5" t="s">
        <v>18</v>
      </c>
      <c r="C1818" s="5" t="s">
        <v>1546</v>
      </c>
      <c r="D1818" s="6">
        <v>44890</v>
      </c>
      <c r="E1818" s="20">
        <v>431</v>
      </c>
      <c r="F1818" s="7">
        <v>0</v>
      </c>
      <c r="J1818" s="16"/>
    </row>
    <row r="1819" spans="1:10" ht="15.75" thickBot="1" x14ac:dyDescent="0.3">
      <c r="A1819" s="4">
        <v>1818</v>
      </c>
      <c r="B1819" s="5" t="s">
        <v>20</v>
      </c>
      <c r="C1819" s="5" t="s">
        <v>1547</v>
      </c>
      <c r="D1819" s="6">
        <v>44800</v>
      </c>
      <c r="E1819" s="20">
        <v>607</v>
      </c>
      <c r="F1819" s="7">
        <v>0</v>
      </c>
      <c r="J1819" s="16"/>
    </row>
    <row r="1820" spans="1:10" ht="30.75" thickBot="1" x14ac:dyDescent="0.3">
      <c r="A1820" s="8">
        <v>1819</v>
      </c>
      <c r="B1820" s="9" t="s">
        <v>22</v>
      </c>
      <c r="C1820" s="9" t="s">
        <v>1548</v>
      </c>
      <c r="D1820" s="10">
        <v>44903</v>
      </c>
      <c r="E1820" s="21">
        <v>904</v>
      </c>
      <c r="F1820" s="11">
        <v>0</v>
      </c>
      <c r="J1820" s="16"/>
    </row>
    <row r="1821" spans="1:10" ht="30.75" thickBot="1" x14ac:dyDescent="0.3">
      <c r="A1821" s="8">
        <v>1820</v>
      </c>
      <c r="B1821" s="9" t="s">
        <v>24</v>
      </c>
      <c r="C1821" s="9" t="s">
        <v>1549</v>
      </c>
      <c r="D1821" s="10">
        <v>44900</v>
      </c>
      <c r="E1821" s="21">
        <v>758</v>
      </c>
      <c r="F1821" s="11">
        <v>0</v>
      </c>
      <c r="J1821" s="16"/>
    </row>
    <row r="1822" spans="1:10" ht="30.75" thickBot="1" x14ac:dyDescent="0.3">
      <c r="A1822" s="4">
        <v>1821</v>
      </c>
      <c r="B1822" s="5" t="s">
        <v>6</v>
      </c>
      <c r="C1822" s="5" t="s">
        <v>1550</v>
      </c>
      <c r="D1822" s="6">
        <v>44753</v>
      </c>
      <c r="E1822" s="20">
        <v>661</v>
      </c>
      <c r="F1822" s="7">
        <v>0</v>
      </c>
      <c r="J1822" s="16"/>
    </row>
    <row r="1823" spans="1:10" ht="15.75" thickBot="1" x14ac:dyDescent="0.3">
      <c r="A1823" s="4">
        <v>1822</v>
      </c>
      <c r="B1823" s="5" t="s">
        <v>8</v>
      </c>
      <c r="C1823" s="5" t="s">
        <v>1551</v>
      </c>
      <c r="D1823" s="6">
        <v>44793</v>
      </c>
      <c r="E1823" s="20">
        <v>926</v>
      </c>
      <c r="F1823" s="7">
        <v>0</v>
      </c>
      <c r="J1823" s="16"/>
    </row>
    <row r="1824" spans="1:10" ht="30.75" thickBot="1" x14ac:dyDescent="0.3">
      <c r="A1824" s="8">
        <v>1823</v>
      </c>
      <c r="B1824" s="9" t="s">
        <v>10</v>
      </c>
      <c r="C1824" s="9" t="s">
        <v>1552</v>
      </c>
      <c r="D1824" s="10">
        <v>44732</v>
      </c>
      <c r="E1824" s="21">
        <v>470</v>
      </c>
      <c r="F1824" s="11">
        <v>0</v>
      </c>
      <c r="J1824" s="16"/>
    </row>
    <row r="1825" spans="1:10" ht="30.75" thickBot="1" x14ac:dyDescent="0.3">
      <c r="A1825" s="8">
        <v>1824</v>
      </c>
      <c r="B1825" s="9" t="s">
        <v>12</v>
      </c>
      <c r="C1825" s="9" t="s">
        <v>1553</v>
      </c>
      <c r="D1825" s="10">
        <v>44939</v>
      </c>
      <c r="E1825" s="21">
        <v>991</v>
      </c>
      <c r="F1825" s="11">
        <v>0</v>
      </c>
      <c r="J1825" s="16"/>
    </row>
    <row r="1826" spans="1:10" ht="30.75" thickBot="1" x14ac:dyDescent="0.3">
      <c r="A1826" s="4">
        <v>1825</v>
      </c>
      <c r="B1826" s="5" t="s">
        <v>14</v>
      </c>
      <c r="C1826" s="5" t="s">
        <v>1554</v>
      </c>
      <c r="D1826" s="6">
        <v>44891</v>
      </c>
      <c r="E1826" s="20">
        <v>842</v>
      </c>
      <c r="F1826" s="7">
        <v>0</v>
      </c>
      <c r="J1826" s="16"/>
    </row>
    <row r="1827" spans="1:10" ht="30.75" thickBot="1" x14ac:dyDescent="0.3">
      <c r="A1827" s="4">
        <v>1826</v>
      </c>
      <c r="B1827" s="5" t="s">
        <v>16</v>
      </c>
      <c r="C1827" s="5" t="s">
        <v>1555</v>
      </c>
      <c r="D1827" s="6">
        <v>44902</v>
      </c>
      <c r="E1827" s="20">
        <v>665</v>
      </c>
      <c r="F1827" s="7">
        <v>0</v>
      </c>
      <c r="J1827" s="16"/>
    </row>
    <row r="1828" spans="1:10" ht="15.75" thickBot="1" x14ac:dyDescent="0.3">
      <c r="A1828" s="8">
        <v>1827</v>
      </c>
      <c r="B1828" s="9" t="s">
        <v>18</v>
      </c>
      <c r="C1828" s="9" t="s">
        <v>1556</v>
      </c>
      <c r="D1828" s="10">
        <v>44772</v>
      </c>
      <c r="E1828" s="21">
        <v>536</v>
      </c>
      <c r="F1828" s="11">
        <v>0</v>
      </c>
      <c r="J1828" s="16"/>
    </row>
    <row r="1829" spans="1:10" ht="15.75" thickBot="1" x14ac:dyDescent="0.3">
      <c r="A1829" s="8">
        <v>1828</v>
      </c>
      <c r="B1829" s="9" t="s">
        <v>20</v>
      </c>
      <c r="C1829" s="9" t="s">
        <v>1557</v>
      </c>
      <c r="D1829" s="10">
        <v>44983</v>
      </c>
      <c r="E1829" s="21">
        <v>845</v>
      </c>
      <c r="F1829" s="11">
        <v>0</v>
      </c>
      <c r="J1829" s="16"/>
    </row>
    <row r="1830" spans="1:10" ht="30.75" thickBot="1" x14ac:dyDescent="0.3">
      <c r="A1830" s="4">
        <v>1829</v>
      </c>
      <c r="B1830" s="5" t="s">
        <v>22</v>
      </c>
      <c r="C1830" s="5" t="s">
        <v>1558</v>
      </c>
      <c r="D1830" s="6">
        <v>44900</v>
      </c>
      <c r="E1830" s="20">
        <v>418</v>
      </c>
      <c r="F1830" s="7">
        <v>0</v>
      </c>
      <c r="J1830" s="16"/>
    </row>
    <row r="1831" spans="1:10" ht="30.75" thickBot="1" x14ac:dyDescent="0.3">
      <c r="A1831" s="4">
        <v>1830</v>
      </c>
      <c r="B1831" s="5" t="s">
        <v>24</v>
      </c>
      <c r="C1831" s="5" t="s">
        <v>1559</v>
      </c>
      <c r="D1831" s="6">
        <v>44977</v>
      </c>
      <c r="E1831" s="20">
        <v>707</v>
      </c>
      <c r="F1831" s="7">
        <v>0</v>
      </c>
      <c r="J1831" s="16"/>
    </row>
    <row r="1832" spans="1:10" ht="30.75" thickBot="1" x14ac:dyDescent="0.3">
      <c r="A1832" s="8">
        <v>1831</v>
      </c>
      <c r="B1832" s="9" t="s">
        <v>6</v>
      </c>
      <c r="C1832" s="9" t="s">
        <v>1560</v>
      </c>
      <c r="D1832" s="10">
        <v>44762</v>
      </c>
      <c r="E1832" s="21">
        <v>639</v>
      </c>
      <c r="F1832" s="11">
        <v>0</v>
      </c>
      <c r="J1832" s="16"/>
    </row>
    <row r="1833" spans="1:10" ht="15.75" thickBot="1" x14ac:dyDescent="0.3">
      <c r="A1833" s="8">
        <v>1832</v>
      </c>
      <c r="B1833" s="9" t="s">
        <v>8</v>
      </c>
      <c r="C1833" s="9" t="s">
        <v>1561</v>
      </c>
      <c r="D1833" s="10">
        <v>45011</v>
      </c>
      <c r="E1833" s="21">
        <v>846</v>
      </c>
      <c r="F1833" s="11">
        <v>0</v>
      </c>
      <c r="J1833" s="16"/>
    </row>
    <row r="1834" spans="1:10" ht="30.75" thickBot="1" x14ac:dyDescent="0.3">
      <c r="A1834" s="4">
        <v>1833</v>
      </c>
      <c r="B1834" s="5" t="s">
        <v>10</v>
      </c>
      <c r="C1834" s="5" t="s">
        <v>1562</v>
      </c>
      <c r="D1834" s="6">
        <v>45015</v>
      </c>
      <c r="E1834" s="20">
        <v>792</v>
      </c>
      <c r="F1834" s="7">
        <v>0</v>
      </c>
      <c r="J1834" s="16"/>
    </row>
    <row r="1835" spans="1:10" ht="30.75" thickBot="1" x14ac:dyDescent="0.3">
      <c r="A1835" s="4">
        <v>1834</v>
      </c>
      <c r="B1835" s="5" t="s">
        <v>12</v>
      </c>
      <c r="C1835" s="5" t="s">
        <v>1563</v>
      </c>
      <c r="D1835" s="6">
        <v>44816</v>
      </c>
      <c r="E1835" s="20">
        <v>926</v>
      </c>
      <c r="F1835" s="7">
        <v>0</v>
      </c>
      <c r="J1835" s="16"/>
    </row>
    <row r="1836" spans="1:10" ht="30.75" thickBot="1" x14ac:dyDescent="0.3">
      <c r="A1836" s="8">
        <v>1835</v>
      </c>
      <c r="B1836" s="9" t="s">
        <v>14</v>
      </c>
      <c r="C1836" s="9" t="s">
        <v>1564</v>
      </c>
      <c r="D1836" s="10">
        <v>44655</v>
      </c>
      <c r="E1836" s="21">
        <v>697</v>
      </c>
      <c r="F1836" s="11">
        <v>0</v>
      </c>
      <c r="J1836" s="16"/>
    </row>
    <row r="1837" spans="1:10" ht="30.75" thickBot="1" x14ac:dyDescent="0.3">
      <c r="A1837" s="8">
        <v>1836</v>
      </c>
      <c r="B1837" s="9" t="s">
        <v>16</v>
      </c>
      <c r="C1837" s="9" t="s">
        <v>1565</v>
      </c>
      <c r="D1837" s="10">
        <v>44933</v>
      </c>
      <c r="E1837" s="21">
        <v>761</v>
      </c>
      <c r="F1837" s="11">
        <v>0</v>
      </c>
      <c r="J1837" s="16"/>
    </row>
    <row r="1838" spans="1:10" ht="15.75" thickBot="1" x14ac:dyDescent="0.3">
      <c r="A1838" s="4">
        <v>1837</v>
      </c>
      <c r="B1838" s="5" t="s">
        <v>18</v>
      </c>
      <c r="C1838" s="5" t="s">
        <v>1566</v>
      </c>
      <c r="D1838" s="6">
        <v>44963</v>
      </c>
      <c r="E1838" s="20">
        <v>752</v>
      </c>
      <c r="F1838" s="7">
        <v>0</v>
      </c>
      <c r="J1838" s="16"/>
    </row>
    <row r="1839" spans="1:10" ht="15.75" thickBot="1" x14ac:dyDescent="0.3">
      <c r="A1839" s="4">
        <v>1838</v>
      </c>
      <c r="B1839" s="5" t="s">
        <v>20</v>
      </c>
      <c r="C1839" s="5" t="s">
        <v>1567</v>
      </c>
      <c r="D1839" s="6">
        <v>44818</v>
      </c>
      <c r="E1839" s="20">
        <v>714</v>
      </c>
      <c r="F1839" s="7">
        <v>0</v>
      </c>
      <c r="J1839" s="16"/>
    </row>
    <row r="1840" spans="1:10" ht="30.75" thickBot="1" x14ac:dyDescent="0.3">
      <c r="A1840" s="8">
        <v>1839</v>
      </c>
      <c r="B1840" s="9" t="s">
        <v>22</v>
      </c>
      <c r="C1840" s="9" t="s">
        <v>1568</v>
      </c>
      <c r="D1840" s="10">
        <v>44893</v>
      </c>
      <c r="E1840" s="21">
        <v>761</v>
      </c>
      <c r="F1840" s="11">
        <v>0</v>
      </c>
      <c r="J1840" s="16"/>
    </row>
    <row r="1841" spans="1:10" ht="30.75" thickBot="1" x14ac:dyDescent="0.3">
      <c r="A1841" s="8">
        <v>1840</v>
      </c>
      <c r="B1841" s="9" t="s">
        <v>24</v>
      </c>
      <c r="C1841" s="9" t="s">
        <v>1569</v>
      </c>
      <c r="D1841" s="10">
        <v>44728</v>
      </c>
      <c r="E1841" s="21">
        <v>847</v>
      </c>
      <c r="F1841" s="11">
        <v>0</v>
      </c>
      <c r="J1841" s="16"/>
    </row>
    <row r="1842" spans="1:10" ht="30.75" thickBot="1" x14ac:dyDescent="0.3">
      <c r="A1842" s="4">
        <v>1841</v>
      </c>
      <c r="B1842" s="5" t="s">
        <v>6</v>
      </c>
      <c r="C1842" s="5" t="s">
        <v>1570</v>
      </c>
      <c r="D1842" s="6">
        <v>44794</v>
      </c>
      <c r="E1842" s="20">
        <v>913</v>
      </c>
      <c r="F1842" s="7">
        <v>0</v>
      </c>
      <c r="J1842" s="16"/>
    </row>
    <row r="1843" spans="1:10" ht="15.75" thickBot="1" x14ac:dyDescent="0.3">
      <c r="A1843" s="4">
        <v>1842</v>
      </c>
      <c r="B1843" s="5" t="s">
        <v>8</v>
      </c>
      <c r="C1843" s="5" t="s">
        <v>1571</v>
      </c>
      <c r="D1843" s="6">
        <v>44845</v>
      </c>
      <c r="E1843" s="20">
        <v>486</v>
      </c>
      <c r="F1843" s="7">
        <v>0</v>
      </c>
      <c r="J1843" s="16"/>
    </row>
    <row r="1844" spans="1:10" ht="30.75" thickBot="1" x14ac:dyDescent="0.3">
      <c r="A1844" s="8">
        <v>1843</v>
      </c>
      <c r="B1844" s="9" t="s">
        <v>10</v>
      </c>
      <c r="C1844" s="9" t="s">
        <v>1572</v>
      </c>
      <c r="D1844" s="10">
        <v>45012</v>
      </c>
      <c r="E1844" s="21">
        <v>698</v>
      </c>
      <c r="F1844" s="11">
        <v>0</v>
      </c>
      <c r="J1844" s="16"/>
    </row>
    <row r="1845" spans="1:10" ht="30.75" thickBot="1" x14ac:dyDescent="0.3">
      <c r="A1845" s="8">
        <v>1844</v>
      </c>
      <c r="B1845" s="9" t="s">
        <v>12</v>
      </c>
      <c r="C1845" s="9" t="s">
        <v>1573</v>
      </c>
      <c r="D1845" s="10">
        <v>44654</v>
      </c>
      <c r="E1845" s="21">
        <v>799</v>
      </c>
      <c r="F1845" s="11">
        <v>0</v>
      </c>
      <c r="J1845" s="16"/>
    </row>
    <row r="1846" spans="1:10" ht="30.75" thickBot="1" x14ac:dyDescent="0.3">
      <c r="A1846" s="4">
        <v>1845</v>
      </c>
      <c r="B1846" s="5" t="s">
        <v>14</v>
      </c>
      <c r="C1846" s="5" t="s">
        <v>1574</v>
      </c>
      <c r="D1846" s="6">
        <v>44823</v>
      </c>
      <c r="E1846" s="20">
        <v>446</v>
      </c>
      <c r="F1846" s="7">
        <v>0</v>
      </c>
      <c r="J1846" s="16"/>
    </row>
    <row r="1847" spans="1:10" ht="30.75" thickBot="1" x14ac:dyDescent="0.3">
      <c r="A1847" s="4">
        <v>1846</v>
      </c>
      <c r="B1847" s="5" t="s">
        <v>16</v>
      </c>
      <c r="C1847" s="5" t="s">
        <v>1575</v>
      </c>
      <c r="D1847" s="6">
        <v>44931</v>
      </c>
      <c r="E1847" s="20">
        <v>520</v>
      </c>
      <c r="F1847" s="7">
        <v>0</v>
      </c>
      <c r="J1847" s="16"/>
    </row>
    <row r="1848" spans="1:10" ht="15.75" thickBot="1" x14ac:dyDescent="0.3">
      <c r="A1848" s="8">
        <v>1847</v>
      </c>
      <c r="B1848" s="9" t="s">
        <v>18</v>
      </c>
      <c r="C1848" s="9" t="s">
        <v>1576</v>
      </c>
      <c r="D1848" s="10">
        <v>44732</v>
      </c>
      <c r="E1848" s="21">
        <v>530</v>
      </c>
      <c r="F1848" s="11">
        <v>0</v>
      </c>
      <c r="J1848" s="16"/>
    </row>
    <row r="1849" spans="1:10" ht="15.75" thickBot="1" x14ac:dyDescent="0.3">
      <c r="A1849" s="8">
        <v>1848</v>
      </c>
      <c r="B1849" s="9" t="s">
        <v>20</v>
      </c>
      <c r="C1849" s="9" t="s">
        <v>1577</v>
      </c>
      <c r="D1849" s="10">
        <v>44906</v>
      </c>
      <c r="E1849" s="21">
        <v>543</v>
      </c>
      <c r="F1849" s="11">
        <v>0</v>
      </c>
      <c r="J1849" s="16"/>
    </row>
    <row r="1850" spans="1:10" ht="30.75" thickBot="1" x14ac:dyDescent="0.3">
      <c r="A1850" s="4">
        <v>1849</v>
      </c>
      <c r="B1850" s="5" t="s">
        <v>22</v>
      </c>
      <c r="C1850" s="5" t="s">
        <v>1578</v>
      </c>
      <c r="D1850" s="6">
        <v>44797</v>
      </c>
      <c r="E1850" s="20">
        <v>963</v>
      </c>
      <c r="F1850" s="7">
        <v>0</v>
      </c>
      <c r="J1850" s="16"/>
    </row>
    <row r="1851" spans="1:10" ht="30.75" thickBot="1" x14ac:dyDescent="0.3">
      <c r="A1851" s="4">
        <v>1850</v>
      </c>
      <c r="B1851" s="5" t="s">
        <v>24</v>
      </c>
      <c r="C1851" s="5" t="s">
        <v>1579</v>
      </c>
      <c r="D1851" s="6">
        <v>44673</v>
      </c>
      <c r="E1851" s="20">
        <v>812</v>
      </c>
      <c r="F1851" s="7">
        <v>0</v>
      </c>
      <c r="J1851" s="16"/>
    </row>
    <row r="1852" spans="1:10" ht="30.75" thickBot="1" x14ac:dyDescent="0.3">
      <c r="A1852" s="8">
        <v>1851</v>
      </c>
      <c r="B1852" s="9" t="s">
        <v>6</v>
      </c>
      <c r="C1852" s="9" t="s">
        <v>1580</v>
      </c>
      <c r="D1852" s="10">
        <v>44821</v>
      </c>
      <c r="E1852" s="21">
        <v>478</v>
      </c>
      <c r="F1852" s="11">
        <v>0</v>
      </c>
      <c r="J1852" s="16"/>
    </row>
    <row r="1853" spans="1:10" ht="15.75" thickBot="1" x14ac:dyDescent="0.3">
      <c r="A1853" s="8">
        <v>1852</v>
      </c>
      <c r="B1853" s="9" t="s">
        <v>8</v>
      </c>
      <c r="C1853" s="9" t="s">
        <v>1581</v>
      </c>
      <c r="D1853" s="10">
        <v>44735</v>
      </c>
      <c r="E1853" s="21">
        <v>699</v>
      </c>
      <c r="F1853" s="11">
        <v>0</v>
      </c>
      <c r="J1853" s="16"/>
    </row>
    <row r="1854" spans="1:10" ht="30.75" thickBot="1" x14ac:dyDescent="0.3">
      <c r="A1854" s="4">
        <v>1853</v>
      </c>
      <c r="B1854" s="5" t="s">
        <v>10</v>
      </c>
      <c r="C1854" s="5" t="s">
        <v>1582</v>
      </c>
      <c r="D1854" s="6">
        <v>44667</v>
      </c>
      <c r="E1854" s="20">
        <v>950</v>
      </c>
      <c r="F1854" s="7">
        <v>0</v>
      </c>
      <c r="J1854" s="16"/>
    </row>
    <row r="1855" spans="1:10" ht="30.75" thickBot="1" x14ac:dyDescent="0.3">
      <c r="A1855" s="4">
        <v>1854</v>
      </c>
      <c r="B1855" s="5" t="s">
        <v>12</v>
      </c>
      <c r="C1855" s="5" t="s">
        <v>1583</v>
      </c>
      <c r="D1855" s="6">
        <v>45012</v>
      </c>
      <c r="E1855" s="20">
        <v>688</v>
      </c>
      <c r="F1855" s="7">
        <v>0</v>
      </c>
      <c r="J1855" s="16"/>
    </row>
    <row r="1856" spans="1:10" ht="30.75" thickBot="1" x14ac:dyDescent="0.3">
      <c r="A1856" s="8">
        <v>1855</v>
      </c>
      <c r="B1856" s="9" t="s">
        <v>14</v>
      </c>
      <c r="C1856" s="9" t="s">
        <v>1584</v>
      </c>
      <c r="D1856" s="10">
        <v>44986</v>
      </c>
      <c r="E1856" s="21">
        <v>926</v>
      </c>
      <c r="F1856" s="11">
        <v>0</v>
      </c>
      <c r="J1856" s="16"/>
    </row>
    <row r="1857" spans="1:10" ht="30.75" thickBot="1" x14ac:dyDescent="0.3">
      <c r="A1857" s="8">
        <v>1856</v>
      </c>
      <c r="B1857" s="9" t="s">
        <v>16</v>
      </c>
      <c r="C1857" s="9" t="s">
        <v>1585</v>
      </c>
      <c r="D1857" s="10">
        <v>44713</v>
      </c>
      <c r="E1857" s="21">
        <v>757</v>
      </c>
      <c r="F1857" s="11">
        <v>0</v>
      </c>
      <c r="J1857" s="16"/>
    </row>
    <row r="1858" spans="1:10" ht="15.75" thickBot="1" x14ac:dyDescent="0.3">
      <c r="A1858" s="4">
        <v>1857</v>
      </c>
      <c r="B1858" s="5" t="s">
        <v>18</v>
      </c>
      <c r="C1858" s="5" t="s">
        <v>1586</v>
      </c>
      <c r="D1858" s="6">
        <v>44695</v>
      </c>
      <c r="E1858" s="20">
        <v>877</v>
      </c>
      <c r="F1858" s="7">
        <v>0</v>
      </c>
      <c r="J1858" s="16"/>
    </row>
    <row r="1859" spans="1:10" ht="15.75" thickBot="1" x14ac:dyDescent="0.3">
      <c r="A1859" s="4">
        <v>1858</v>
      </c>
      <c r="B1859" s="5" t="s">
        <v>20</v>
      </c>
      <c r="C1859" s="5" t="s">
        <v>1587</v>
      </c>
      <c r="D1859" s="6">
        <v>44868</v>
      </c>
      <c r="E1859" s="20">
        <v>508</v>
      </c>
      <c r="F1859" s="7">
        <v>0</v>
      </c>
      <c r="J1859" s="16"/>
    </row>
    <row r="1860" spans="1:10" ht="30.75" thickBot="1" x14ac:dyDescent="0.3">
      <c r="A1860" s="8">
        <v>1859</v>
      </c>
      <c r="B1860" s="9" t="s">
        <v>22</v>
      </c>
      <c r="C1860" s="9" t="s">
        <v>1588</v>
      </c>
      <c r="D1860" s="10">
        <v>44930</v>
      </c>
      <c r="E1860" s="21">
        <v>738</v>
      </c>
      <c r="F1860" s="11">
        <v>0</v>
      </c>
      <c r="J1860" s="16"/>
    </row>
    <row r="1861" spans="1:10" ht="30.75" thickBot="1" x14ac:dyDescent="0.3">
      <c r="A1861" s="8">
        <v>1860</v>
      </c>
      <c r="B1861" s="9" t="s">
        <v>24</v>
      </c>
      <c r="C1861" s="9" t="s">
        <v>1589</v>
      </c>
      <c r="D1861" s="10">
        <v>44895</v>
      </c>
      <c r="E1861" s="21">
        <v>937</v>
      </c>
      <c r="F1861" s="11">
        <v>0</v>
      </c>
      <c r="J1861" s="16"/>
    </row>
    <row r="1862" spans="1:10" ht="30.75" thickBot="1" x14ac:dyDescent="0.3">
      <c r="A1862" s="4">
        <v>1861</v>
      </c>
      <c r="B1862" s="5" t="s">
        <v>6</v>
      </c>
      <c r="C1862" s="5" t="s">
        <v>1590</v>
      </c>
      <c r="D1862" s="6">
        <v>44825</v>
      </c>
      <c r="E1862" s="20">
        <v>607</v>
      </c>
      <c r="F1862" s="7">
        <v>0</v>
      </c>
      <c r="J1862" s="16"/>
    </row>
    <row r="1863" spans="1:10" ht="15.75" thickBot="1" x14ac:dyDescent="0.3">
      <c r="A1863" s="4">
        <v>1862</v>
      </c>
      <c r="B1863" s="5" t="s">
        <v>8</v>
      </c>
      <c r="C1863" s="5" t="s">
        <v>1591</v>
      </c>
      <c r="D1863" s="6">
        <v>44625</v>
      </c>
      <c r="E1863" s="20">
        <v>783</v>
      </c>
      <c r="F1863" s="7">
        <v>0</v>
      </c>
      <c r="J1863" s="16"/>
    </row>
    <row r="1864" spans="1:10" ht="30.75" thickBot="1" x14ac:dyDescent="0.3">
      <c r="A1864" s="8">
        <v>1863</v>
      </c>
      <c r="B1864" s="9" t="s">
        <v>10</v>
      </c>
      <c r="C1864" s="9" t="s">
        <v>1592</v>
      </c>
      <c r="D1864" s="10">
        <v>44748</v>
      </c>
      <c r="E1864" s="21">
        <v>764</v>
      </c>
      <c r="F1864" s="11">
        <v>0</v>
      </c>
      <c r="J1864" s="16"/>
    </row>
    <row r="1865" spans="1:10" ht="30.75" thickBot="1" x14ac:dyDescent="0.3">
      <c r="A1865" s="8">
        <v>1864</v>
      </c>
      <c r="B1865" s="9" t="s">
        <v>12</v>
      </c>
      <c r="C1865" s="9" t="s">
        <v>1593</v>
      </c>
      <c r="D1865" s="10">
        <v>44905</v>
      </c>
      <c r="E1865" s="21">
        <v>682</v>
      </c>
      <c r="F1865" s="11">
        <v>0</v>
      </c>
      <c r="J1865" s="16"/>
    </row>
    <row r="1866" spans="1:10" ht="30.75" thickBot="1" x14ac:dyDescent="0.3">
      <c r="A1866" s="4">
        <v>1865</v>
      </c>
      <c r="B1866" s="5" t="s">
        <v>14</v>
      </c>
      <c r="C1866" s="5" t="s">
        <v>1594</v>
      </c>
      <c r="D1866" s="6">
        <v>44974</v>
      </c>
      <c r="E1866" s="20">
        <v>441</v>
      </c>
      <c r="F1866" s="7">
        <v>0</v>
      </c>
      <c r="J1866" s="16"/>
    </row>
    <row r="1867" spans="1:10" ht="30.75" thickBot="1" x14ac:dyDescent="0.3">
      <c r="A1867" s="4">
        <v>1866</v>
      </c>
      <c r="B1867" s="5" t="s">
        <v>16</v>
      </c>
      <c r="C1867" s="5" t="s">
        <v>1595</v>
      </c>
      <c r="D1867" s="6">
        <v>44938</v>
      </c>
      <c r="E1867" s="20">
        <v>529</v>
      </c>
      <c r="F1867" s="7">
        <v>0</v>
      </c>
      <c r="J1867" s="16"/>
    </row>
    <row r="1868" spans="1:10" ht="15.75" thickBot="1" x14ac:dyDescent="0.3">
      <c r="A1868" s="8">
        <v>1867</v>
      </c>
      <c r="B1868" s="9" t="s">
        <v>18</v>
      </c>
      <c r="C1868" s="9" t="s">
        <v>1596</v>
      </c>
      <c r="D1868" s="10">
        <v>44733</v>
      </c>
      <c r="E1868" s="21">
        <v>502</v>
      </c>
      <c r="F1868" s="11">
        <v>0</v>
      </c>
      <c r="J1868" s="16"/>
    </row>
    <row r="1869" spans="1:10" ht="15.75" thickBot="1" x14ac:dyDescent="0.3">
      <c r="A1869" s="8">
        <v>1868</v>
      </c>
      <c r="B1869" s="9" t="s">
        <v>20</v>
      </c>
      <c r="C1869" s="9" t="s">
        <v>1597</v>
      </c>
      <c r="D1869" s="10">
        <v>44967</v>
      </c>
      <c r="E1869" s="21">
        <v>570</v>
      </c>
      <c r="F1869" s="11">
        <v>0</v>
      </c>
      <c r="J1869" s="16"/>
    </row>
    <row r="1870" spans="1:10" ht="30.75" thickBot="1" x14ac:dyDescent="0.3">
      <c r="A1870" s="4">
        <v>1869</v>
      </c>
      <c r="B1870" s="5" t="s">
        <v>22</v>
      </c>
      <c r="C1870" s="5" t="s">
        <v>1598</v>
      </c>
      <c r="D1870" s="6">
        <v>44845</v>
      </c>
      <c r="E1870" s="20">
        <v>553</v>
      </c>
      <c r="F1870" s="7">
        <v>0</v>
      </c>
      <c r="J1870" s="16"/>
    </row>
    <row r="1871" spans="1:10" ht="30.75" thickBot="1" x14ac:dyDescent="0.3">
      <c r="A1871" s="4">
        <v>1870</v>
      </c>
      <c r="B1871" s="5" t="s">
        <v>24</v>
      </c>
      <c r="C1871" s="5" t="s">
        <v>1599</v>
      </c>
      <c r="D1871" s="6">
        <v>44715</v>
      </c>
      <c r="E1871" s="20">
        <v>502</v>
      </c>
      <c r="F1871" s="7">
        <v>0</v>
      </c>
      <c r="J1871" s="16"/>
    </row>
    <row r="1872" spans="1:10" ht="30.75" thickBot="1" x14ac:dyDescent="0.3">
      <c r="A1872" s="8">
        <v>1871</v>
      </c>
      <c r="B1872" s="9" t="s">
        <v>6</v>
      </c>
      <c r="C1872" s="9" t="s">
        <v>1600</v>
      </c>
      <c r="D1872" s="10">
        <v>44929</v>
      </c>
      <c r="E1872" s="21">
        <v>439</v>
      </c>
      <c r="F1872" s="11">
        <v>0</v>
      </c>
      <c r="J1872" s="16"/>
    </row>
    <row r="1873" spans="1:10" ht="15.75" thickBot="1" x14ac:dyDescent="0.3">
      <c r="A1873" s="8">
        <v>1872</v>
      </c>
      <c r="B1873" s="9" t="s">
        <v>8</v>
      </c>
      <c r="C1873" s="9" t="s">
        <v>1601</v>
      </c>
      <c r="D1873" s="10">
        <v>44856</v>
      </c>
      <c r="E1873" s="21">
        <v>663</v>
      </c>
      <c r="F1873" s="11">
        <v>0</v>
      </c>
      <c r="J1873" s="16"/>
    </row>
    <row r="1874" spans="1:10" ht="30.75" thickBot="1" x14ac:dyDescent="0.3">
      <c r="A1874" s="4">
        <v>1873</v>
      </c>
      <c r="B1874" s="5" t="s">
        <v>10</v>
      </c>
      <c r="C1874" s="5" t="s">
        <v>1602</v>
      </c>
      <c r="D1874" s="6">
        <v>44690</v>
      </c>
      <c r="E1874" s="20">
        <v>472</v>
      </c>
      <c r="F1874" s="7">
        <v>0</v>
      </c>
      <c r="J1874" s="16"/>
    </row>
    <row r="1875" spans="1:10" ht="30.75" thickBot="1" x14ac:dyDescent="0.3">
      <c r="A1875" s="4">
        <v>1874</v>
      </c>
      <c r="B1875" s="5" t="s">
        <v>12</v>
      </c>
      <c r="C1875" s="5" t="s">
        <v>1603</v>
      </c>
      <c r="D1875" s="6">
        <v>44930</v>
      </c>
      <c r="E1875" s="20">
        <v>826</v>
      </c>
      <c r="F1875" s="7">
        <v>0</v>
      </c>
      <c r="J1875" s="16"/>
    </row>
    <row r="1876" spans="1:10" ht="30.75" thickBot="1" x14ac:dyDescent="0.3">
      <c r="A1876" s="8">
        <v>1875</v>
      </c>
      <c r="B1876" s="9" t="s">
        <v>14</v>
      </c>
      <c r="C1876" s="9" t="s">
        <v>1604</v>
      </c>
      <c r="D1876" s="10">
        <v>44618</v>
      </c>
      <c r="E1876" s="21">
        <v>877</v>
      </c>
      <c r="F1876" s="11">
        <v>0</v>
      </c>
      <c r="J1876" s="16"/>
    </row>
    <row r="1877" spans="1:10" ht="30.75" thickBot="1" x14ac:dyDescent="0.3">
      <c r="A1877" s="8">
        <v>1876</v>
      </c>
      <c r="B1877" s="9" t="s">
        <v>16</v>
      </c>
      <c r="C1877" s="9" t="s">
        <v>1605</v>
      </c>
      <c r="D1877" s="10">
        <v>44798</v>
      </c>
      <c r="E1877" s="21">
        <v>761</v>
      </c>
      <c r="F1877" s="11">
        <v>0</v>
      </c>
      <c r="J1877" s="16"/>
    </row>
    <row r="1878" spans="1:10" ht="15.75" thickBot="1" x14ac:dyDescent="0.3">
      <c r="A1878" s="4">
        <v>1877</v>
      </c>
      <c r="B1878" s="5" t="s">
        <v>18</v>
      </c>
      <c r="C1878" s="5" t="s">
        <v>1606</v>
      </c>
      <c r="D1878" s="6">
        <v>44664</v>
      </c>
      <c r="E1878" s="20">
        <v>600</v>
      </c>
      <c r="F1878" s="7">
        <v>0</v>
      </c>
      <c r="J1878" s="16"/>
    </row>
    <row r="1879" spans="1:10" ht="15.75" thickBot="1" x14ac:dyDescent="0.3">
      <c r="A1879" s="4">
        <v>1878</v>
      </c>
      <c r="B1879" s="5" t="s">
        <v>20</v>
      </c>
      <c r="C1879" s="5" t="s">
        <v>1607</v>
      </c>
      <c r="D1879" s="6">
        <v>44811</v>
      </c>
      <c r="E1879" s="20">
        <v>561</v>
      </c>
      <c r="F1879" s="7">
        <v>0</v>
      </c>
      <c r="J1879" s="16"/>
    </row>
    <row r="1880" spans="1:10" ht="30.75" thickBot="1" x14ac:dyDescent="0.3">
      <c r="A1880" s="8">
        <v>1879</v>
      </c>
      <c r="B1880" s="9" t="s">
        <v>22</v>
      </c>
      <c r="C1880" s="9" t="s">
        <v>1608</v>
      </c>
      <c r="D1880" s="10">
        <v>44772</v>
      </c>
      <c r="E1880" s="21">
        <v>623</v>
      </c>
      <c r="F1880" s="11">
        <v>0</v>
      </c>
      <c r="J1880" s="16"/>
    </row>
    <row r="1881" spans="1:10" ht="30.75" thickBot="1" x14ac:dyDescent="0.3">
      <c r="A1881" s="8">
        <v>1880</v>
      </c>
      <c r="B1881" s="9" t="s">
        <v>24</v>
      </c>
      <c r="C1881" s="9" t="s">
        <v>1609</v>
      </c>
      <c r="D1881" s="10">
        <v>44939</v>
      </c>
      <c r="E1881" s="21">
        <v>976</v>
      </c>
      <c r="F1881" s="11">
        <v>0</v>
      </c>
      <c r="J1881" s="16"/>
    </row>
    <row r="1882" spans="1:10" ht="30.75" thickBot="1" x14ac:dyDescent="0.3">
      <c r="A1882" s="4">
        <v>1881</v>
      </c>
      <c r="B1882" s="5" t="s">
        <v>6</v>
      </c>
      <c r="C1882" s="5" t="s">
        <v>1610</v>
      </c>
      <c r="D1882" s="6">
        <v>44960</v>
      </c>
      <c r="E1882" s="20">
        <v>732</v>
      </c>
      <c r="F1882" s="7">
        <v>0</v>
      </c>
      <c r="J1882" s="16"/>
    </row>
    <row r="1883" spans="1:10" ht="15.75" thickBot="1" x14ac:dyDescent="0.3">
      <c r="A1883" s="4">
        <v>1882</v>
      </c>
      <c r="B1883" s="5" t="s">
        <v>8</v>
      </c>
      <c r="C1883" s="5" t="s">
        <v>1611</v>
      </c>
      <c r="D1883" s="6">
        <v>44649</v>
      </c>
      <c r="E1883" s="20">
        <v>701</v>
      </c>
      <c r="F1883" s="7">
        <v>0</v>
      </c>
      <c r="J1883" s="16"/>
    </row>
    <row r="1884" spans="1:10" ht="30.75" thickBot="1" x14ac:dyDescent="0.3">
      <c r="A1884" s="8">
        <v>1883</v>
      </c>
      <c r="B1884" s="9" t="s">
        <v>10</v>
      </c>
      <c r="C1884" s="9" t="s">
        <v>1612</v>
      </c>
      <c r="D1884" s="10">
        <v>44751</v>
      </c>
      <c r="E1884" s="21">
        <v>946</v>
      </c>
      <c r="F1884" s="11">
        <v>0</v>
      </c>
      <c r="J1884" s="16"/>
    </row>
    <row r="1885" spans="1:10" ht="30.75" thickBot="1" x14ac:dyDescent="0.3">
      <c r="A1885" s="8">
        <v>1884</v>
      </c>
      <c r="B1885" s="9" t="s">
        <v>12</v>
      </c>
      <c r="C1885" s="9" t="s">
        <v>1613</v>
      </c>
      <c r="D1885" s="10">
        <v>44672</v>
      </c>
      <c r="E1885" s="21">
        <v>613</v>
      </c>
      <c r="F1885" s="11">
        <v>0</v>
      </c>
      <c r="J1885" s="16"/>
    </row>
    <row r="1886" spans="1:10" ht="30.75" thickBot="1" x14ac:dyDescent="0.3">
      <c r="A1886" s="4">
        <v>1885</v>
      </c>
      <c r="B1886" s="5" t="s">
        <v>14</v>
      </c>
      <c r="C1886" s="5" t="s">
        <v>1614</v>
      </c>
      <c r="D1886" s="6">
        <v>44645</v>
      </c>
      <c r="E1886" s="20">
        <v>764</v>
      </c>
      <c r="F1886" s="7">
        <v>0</v>
      </c>
      <c r="J1886" s="16"/>
    </row>
    <row r="1887" spans="1:10" ht="30.75" thickBot="1" x14ac:dyDescent="0.3">
      <c r="A1887" s="4">
        <v>1886</v>
      </c>
      <c r="B1887" s="5" t="s">
        <v>16</v>
      </c>
      <c r="C1887" s="5" t="s">
        <v>1615</v>
      </c>
      <c r="D1887" s="6">
        <v>44726</v>
      </c>
      <c r="E1887" s="20">
        <v>782</v>
      </c>
      <c r="F1887" s="7">
        <v>0</v>
      </c>
      <c r="J1887" s="16"/>
    </row>
    <row r="1888" spans="1:10" ht="15.75" thickBot="1" x14ac:dyDescent="0.3">
      <c r="A1888" s="8">
        <v>1887</v>
      </c>
      <c r="B1888" s="9" t="s">
        <v>18</v>
      </c>
      <c r="C1888" s="9" t="s">
        <v>1616</v>
      </c>
      <c r="D1888" s="10">
        <v>44987</v>
      </c>
      <c r="E1888" s="21">
        <v>629</v>
      </c>
      <c r="F1888" s="11">
        <v>0</v>
      </c>
      <c r="J1888" s="16"/>
    </row>
    <row r="1889" spans="1:10" ht="15.75" thickBot="1" x14ac:dyDescent="0.3">
      <c r="A1889" s="8">
        <v>1888</v>
      </c>
      <c r="B1889" s="9" t="s">
        <v>20</v>
      </c>
      <c r="C1889" s="9" t="s">
        <v>1617</v>
      </c>
      <c r="D1889" s="10">
        <v>44743</v>
      </c>
      <c r="E1889" s="21">
        <v>524</v>
      </c>
      <c r="F1889" s="11">
        <v>0</v>
      </c>
      <c r="J1889" s="16"/>
    </row>
    <row r="1890" spans="1:10" ht="30.75" thickBot="1" x14ac:dyDescent="0.3">
      <c r="A1890" s="4">
        <v>1889</v>
      </c>
      <c r="B1890" s="5" t="s">
        <v>22</v>
      </c>
      <c r="C1890" s="5" t="s">
        <v>1618</v>
      </c>
      <c r="D1890" s="6">
        <v>44916</v>
      </c>
      <c r="E1890" s="20">
        <v>494</v>
      </c>
      <c r="F1890" s="7">
        <v>0</v>
      </c>
      <c r="J1890" s="16"/>
    </row>
    <row r="1891" spans="1:10" ht="30.75" thickBot="1" x14ac:dyDescent="0.3">
      <c r="A1891" s="4">
        <v>1890</v>
      </c>
      <c r="B1891" s="5" t="s">
        <v>24</v>
      </c>
      <c r="C1891" s="5" t="s">
        <v>1619</v>
      </c>
      <c r="D1891" s="6">
        <v>44839</v>
      </c>
      <c r="E1891" s="20">
        <v>962</v>
      </c>
      <c r="F1891" s="7">
        <v>0</v>
      </c>
      <c r="J1891" s="16"/>
    </row>
    <row r="1892" spans="1:10" ht="30.75" thickBot="1" x14ac:dyDescent="0.3">
      <c r="A1892" s="8">
        <v>1891</v>
      </c>
      <c r="B1892" s="9" t="s">
        <v>6</v>
      </c>
      <c r="C1892" s="9" t="s">
        <v>1620</v>
      </c>
      <c r="D1892" s="10">
        <v>44834</v>
      </c>
      <c r="E1892" s="21">
        <v>815</v>
      </c>
      <c r="F1892" s="11">
        <v>0</v>
      </c>
      <c r="J1892" s="16"/>
    </row>
    <row r="1893" spans="1:10" ht="15.75" thickBot="1" x14ac:dyDescent="0.3">
      <c r="A1893" s="8">
        <v>1892</v>
      </c>
      <c r="B1893" s="9" t="s">
        <v>8</v>
      </c>
      <c r="C1893" s="9" t="s">
        <v>1621</v>
      </c>
      <c r="D1893" s="10">
        <v>44777</v>
      </c>
      <c r="E1893" s="21">
        <v>839</v>
      </c>
      <c r="F1893" s="11">
        <v>0</v>
      </c>
      <c r="J1893" s="16"/>
    </row>
    <row r="1894" spans="1:10" ht="30.75" thickBot="1" x14ac:dyDescent="0.3">
      <c r="A1894" s="4">
        <v>1893</v>
      </c>
      <c r="B1894" s="5" t="s">
        <v>10</v>
      </c>
      <c r="C1894" s="5" t="s">
        <v>1622</v>
      </c>
      <c r="D1894" s="6">
        <v>44952</v>
      </c>
      <c r="E1894" s="20">
        <v>619</v>
      </c>
      <c r="F1894" s="7">
        <v>0</v>
      </c>
      <c r="J1894" s="16"/>
    </row>
    <row r="1895" spans="1:10" ht="30.75" thickBot="1" x14ac:dyDescent="0.3">
      <c r="A1895" s="4">
        <v>1894</v>
      </c>
      <c r="B1895" s="5" t="s">
        <v>12</v>
      </c>
      <c r="C1895" s="5" t="s">
        <v>1623</v>
      </c>
      <c r="D1895" s="6">
        <v>44783</v>
      </c>
      <c r="E1895" s="20">
        <v>431</v>
      </c>
      <c r="F1895" s="7">
        <v>0</v>
      </c>
      <c r="J1895" s="16"/>
    </row>
    <row r="1896" spans="1:10" ht="30.75" thickBot="1" x14ac:dyDescent="0.3">
      <c r="A1896" s="8">
        <v>1895</v>
      </c>
      <c r="B1896" s="9" t="s">
        <v>14</v>
      </c>
      <c r="C1896" s="9" t="s">
        <v>1624</v>
      </c>
      <c r="D1896" s="10">
        <v>44797</v>
      </c>
      <c r="E1896" s="21">
        <v>520</v>
      </c>
      <c r="F1896" s="11">
        <v>0</v>
      </c>
      <c r="J1896" s="16"/>
    </row>
    <row r="1897" spans="1:10" ht="30.75" thickBot="1" x14ac:dyDescent="0.3">
      <c r="A1897" s="8">
        <v>1896</v>
      </c>
      <c r="B1897" s="9" t="s">
        <v>16</v>
      </c>
      <c r="C1897" s="9" t="s">
        <v>1625</v>
      </c>
      <c r="D1897" s="10">
        <v>44598</v>
      </c>
      <c r="E1897" s="21">
        <v>722</v>
      </c>
      <c r="F1897" s="11">
        <v>0</v>
      </c>
      <c r="J1897" s="16"/>
    </row>
    <row r="1898" spans="1:10" ht="15.75" thickBot="1" x14ac:dyDescent="0.3">
      <c r="A1898" s="4">
        <v>1897</v>
      </c>
      <c r="B1898" s="5" t="s">
        <v>18</v>
      </c>
      <c r="C1898" s="5" t="s">
        <v>1626</v>
      </c>
      <c r="D1898" s="6">
        <v>44922</v>
      </c>
      <c r="E1898" s="20">
        <v>613</v>
      </c>
      <c r="F1898" s="7">
        <v>0</v>
      </c>
      <c r="J1898" s="16"/>
    </row>
    <row r="1899" spans="1:10" ht="15.75" thickBot="1" x14ac:dyDescent="0.3">
      <c r="A1899" s="4">
        <v>1898</v>
      </c>
      <c r="B1899" s="5" t="s">
        <v>20</v>
      </c>
      <c r="C1899" s="5" t="s">
        <v>1627</v>
      </c>
      <c r="D1899" s="6">
        <v>44890</v>
      </c>
      <c r="E1899" s="20">
        <v>495</v>
      </c>
      <c r="F1899" s="7">
        <v>0</v>
      </c>
      <c r="J1899" s="16"/>
    </row>
    <row r="1900" spans="1:10" ht="30.75" thickBot="1" x14ac:dyDescent="0.3">
      <c r="A1900" s="8">
        <v>1899</v>
      </c>
      <c r="B1900" s="9" t="s">
        <v>22</v>
      </c>
      <c r="C1900" s="9" t="s">
        <v>1628</v>
      </c>
      <c r="D1900" s="10">
        <v>44674</v>
      </c>
      <c r="E1900" s="21">
        <v>964</v>
      </c>
      <c r="F1900" s="11">
        <v>0</v>
      </c>
      <c r="J1900" s="16"/>
    </row>
    <row r="1901" spans="1:10" ht="30.75" thickBot="1" x14ac:dyDescent="0.3">
      <c r="A1901" s="8">
        <v>1900</v>
      </c>
      <c r="B1901" s="9" t="s">
        <v>24</v>
      </c>
      <c r="C1901" s="9" t="s">
        <v>1629</v>
      </c>
      <c r="D1901" s="10">
        <v>44922</v>
      </c>
      <c r="E1901" s="21">
        <v>939</v>
      </c>
      <c r="F1901" s="11">
        <v>0</v>
      </c>
      <c r="J1901" s="16"/>
    </row>
    <row r="1902" spans="1:10" ht="30.75" thickBot="1" x14ac:dyDescent="0.3">
      <c r="A1902" s="4">
        <v>1901</v>
      </c>
      <c r="B1902" s="5" t="s">
        <v>6</v>
      </c>
      <c r="C1902" s="5" t="s">
        <v>1630</v>
      </c>
      <c r="D1902" s="6">
        <v>44771</v>
      </c>
      <c r="E1902" s="20">
        <v>929</v>
      </c>
      <c r="F1902" s="7">
        <v>0</v>
      </c>
      <c r="J1902" s="16"/>
    </row>
    <row r="1903" spans="1:10" ht="15.75" thickBot="1" x14ac:dyDescent="0.3">
      <c r="A1903" s="4">
        <v>1902</v>
      </c>
      <c r="B1903" s="5" t="s">
        <v>8</v>
      </c>
      <c r="C1903" s="5" t="s">
        <v>1631</v>
      </c>
      <c r="D1903" s="6">
        <v>44585</v>
      </c>
      <c r="E1903" s="20">
        <v>445</v>
      </c>
      <c r="F1903" s="7">
        <v>0</v>
      </c>
      <c r="J1903" s="16"/>
    </row>
    <row r="1904" spans="1:10" ht="30.75" thickBot="1" x14ac:dyDescent="0.3">
      <c r="A1904" s="8">
        <v>1903</v>
      </c>
      <c r="B1904" s="9" t="s">
        <v>10</v>
      </c>
      <c r="C1904" s="9" t="s">
        <v>1632</v>
      </c>
      <c r="D1904" s="10">
        <v>45017</v>
      </c>
      <c r="E1904" s="21">
        <v>653</v>
      </c>
      <c r="F1904" s="11">
        <v>0</v>
      </c>
      <c r="J1904" s="16"/>
    </row>
    <row r="1905" spans="1:10" ht="30.75" thickBot="1" x14ac:dyDescent="0.3">
      <c r="A1905" s="8">
        <v>1904</v>
      </c>
      <c r="B1905" s="9" t="s">
        <v>12</v>
      </c>
      <c r="C1905" s="9" t="s">
        <v>1633</v>
      </c>
      <c r="D1905" s="10">
        <v>44752</v>
      </c>
      <c r="E1905" s="21">
        <v>788</v>
      </c>
      <c r="F1905" s="11">
        <v>0</v>
      </c>
      <c r="J1905" s="16"/>
    </row>
    <row r="1906" spans="1:10" ht="30.75" thickBot="1" x14ac:dyDescent="0.3">
      <c r="A1906" s="4">
        <v>1905</v>
      </c>
      <c r="B1906" s="5" t="s">
        <v>14</v>
      </c>
      <c r="C1906" s="5" t="s">
        <v>1634</v>
      </c>
      <c r="D1906" s="6">
        <v>44792</v>
      </c>
      <c r="E1906" s="20">
        <v>730</v>
      </c>
      <c r="F1906" s="7">
        <v>0</v>
      </c>
      <c r="J1906" s="16"/>
    </row>
    <row r="1907" spans="1:10" ht="30.75" thickBot="1" x14ac:dyDescent="0.3">
      <c r="A1907" s="4">
        <v>1906</v>
      </c>
      <c r="B1907" s="5" t="s">
        <v>16</v>
      </c>
      <c r="C1907" s="5" t="s">
        <v>1635</v>
      </c>
      <c r="D1907" s="6">
        <v>44660</v>
      </c>
      <c r="E1907" s="20">
        <v>729</v>
      </c>
      <c r="F1907" s="7">
        <v>0</v>
      </c>
      <c r="J1907" s="16"/>
    </row>
    <row r="1908" spans="1:10" ht="15.75" thickBot="1" x14ac:dyDescent="0.3">
      <c r="A1908" s="8">
        <v>1907</v>
      </c>
      <c r="B1908" s="9" t="s">
        <v>18</v>
      </c>
      <c r="C1908" s="9" t="s">
        <v>1636</v>
      </c>
      <c r="D1908" s="10">
        <v>45047</v>
      </c>
      <c r="E1908" s="21">
        <v>935</v>
      </c>
      <c r="F1908" s="11">
        <v>0</v>
      </c>
      <c r="J1908" s="16"/>
    </row>
    <row r="1909" spans="1:10" ht="15.75" thickBot="1" x14ac:dyDescent="0.3">
      <c r="A1909" s="8">
        <v>1908</v>
      </c>
      <c r="B1909" s="9" t="s">
        <v>20</v>
      </c>
      <c r="C1909" s="9" t="s">
        <v>1637</v>
      </c>
      <c r="D1909" s="10">
        <v>44822</v>
      </c>
      <c r="E1909" s="21">
        <v>684</v>
      </c>
      <c r="F1909" s="11">
        <v>0</v>
      </c>
      <c r="J1909" s="16"/>
    </row>
    <row r="1910" spans="1:10" ht="30.75" thickBot="1" x14ac:dyDescent="0.3">
      <c r="A1910" s="4">
        <v>1909</v>
      </c>
      <c r="B1910" s="5" t="s">
        <v>22</v>
      </c>
      <c r="C1910" s="5" t="s">
        <v>1638</v>
      </c>
      <c r="D1910" s="6">
        <v>44637</v>
      </c>
      <c r="E1910" s="20">
        <v>996</v>
      </c>
      <c r="F1910" s="7">
        <v>0</v>
      </c>
      <c r="J1910" s="16"/>
    </row>
    <row r="1911" spans="1:10" ht="30.75" thickBot="1" x14ac:dyDescent="0.3">
      <c r="A1911" s="4">
        <v>1910</v>
      </c>
      <c r="B1911" s="5" t="s">
        <v>24</v>
      </c>
      <c r="C1911" s="5" t="s">
        <v>1639</v>
      </c>
      <c r="D1911" s="6">
        <v>44562</v>
      </c>
      <c r="E1911" s="20">
        <v>406</v>
      </c>
      <c r="F1911" s="7">
        <v>0</v>
      </c>
      <c r="J1911" s="16"/>
    </row>
    <row r="1912" spans="1:10" ht="30.75" thickBot="1" x14ac:dyDescent="0.3">
      <c r="A1912" s="8">
        <v>1911</v>
      </c>
      <c r="B1912" s="9" t="s">
        <v>6</v>
      </c>
      <c r="C1912" s="9" t="s">
        <v>1640</v>
      </c>
      <c r="D1912" s="10">
        <v>44894</v>
      </c>
      <c r="E1912" s="21">
        <v>647</v>
      </c>
      <c r="F1912" s="11">
        <v>0</v>
      </c>
      <c r="J1912" s="16"/>
    </row>
    <row r="1913" spans="1:10" ht="15.75" thickBot="1" x14ac:dyDescent="0.3">
      <c r="A1913" s="8">
        <v>1912</v>
      </c>
      <c r="B1913" s="9" t="s">
        <v>8</v>
      </c>
      <c r="C1913" s="9" t="s">
        <v>1641</v>
      </c>
      <c r="D1913" s="10">
        <v>44961</v>
      </c>
      <c r="E1913" s="21">
        <v>485</v>
      </c>
      <c r="F1913" s="11">
        <v>0</v>
      </c>
      <c r="J1913" s="16"/>
    </row>
    <row r="1914" spans="1:10" ht="30.75" thickBot="1" x14ac:dyDescent="0.3">
      <c r="A1914" s="4">
        <v>1913</v>
      </c>
      <c r="B1914" s="5" t="s">
        <v>10</v>
      </c>
      <c r="C1914" s="5" t="s">
        <v>1642</v>
      </c>
      <c r="D1914" s="6">
        <v>44890</v>
      </c>
      <c r="E1914" s="20">
        <v>760</v>
      </c>
      <c r="F1914" s="7">
        <v>0</v>
      </c>
      <c r="J1914" s="16"/>
    </row>
    <row r="1915" spans="1:10" ht="30.75" thickBot="1" x14ac:dyDescent="0.3">
      <c r="A1915" s="4">
        <v>1914</v>
      </c>
      <c r="B1915" s="5" t="s">
        <v>12</v>
      </c>
      <c r="C1915" s="5" t="s">
        <v>1643</v>
      </c>
      <c r="D1915" s="6">
        <v>44996</v>
      </c>
      <c r="E1915" s="20">
        <v>908</v>
      </c>
      <c r="F1915" s="7">
        <v>0</v>
      </c>
      <c r="J1915" s="16"/>
    </row>
    <row r="1916" spans="1:10" ht="30.75" thickBot="1" x14ac:dyDescent="0.3">
      <c r="A1916" s="8">
        <v>1915</v>
      </c>
      <c r="B1916" s="9" t="s">
        <v>14</v>
      </c>
      <c r="C1916" s="9" t="s">
        <v>1644</v>
      </c>
      <c r="D1916" s="10">
        <v>44726</v>
      </c>
      <c r="E1916" s="21">
        <v>734</v>
      </c>
      <c r="F1916" s="11">
        <v>0</v>
      </c>
      <c r="J1916" s="16"/>
    </row>
    <row r="1917" spans="1:10" ht="30.75" thickBot="1" x14ac:dyDescent="0.3">
      <c r="A1917" s="8">
        <v>1916</v>
      </c>
      <c r="B1917" s="9" t="s">
        <v>16</v>
      </c>
      <c r="C1917" s="9" t="s">
        <v>1645</v>
      </c>
      <c r="D1917" s="10">
        <v>45047</v>
      </c>
      <c r="E1917" s="21">
        <v>474</v>
      </c>
      <c r="F1917" s="11">
        <v>0</v>
      </c>
      <c r="J1917" s="16"/>
    </row>
    <row r="1918" spans="1:10" ht="15.75" thickBot="1" x14ac:dyDescent="0.3">
      <c r="A1918" s="4">
        <v>1917</v>
      </c>
      <c r="B1918" s="5" t="s">
        <v>18</v>
      </c>
      <c r="C1918" s="5" t="s">
        <v>1646</v>
      </c>
      <c r="D1918" s="6">
        <v>44890</v>
      </c>
      <c r="E1918" s="20">
        <v>924</v>
      </c>
      <c r="F1918" s="7">
        <v>0</v>
      </c>
      <c r="J1918" s="16"/>
    </row>
    <row r="1919" spans="1:10" ht="15.75" thickBot="1" x14ac:dyDescent="0.3">
      <c r="A1919" s="4">
        <v>1918</v>
      </c>
      <c r="B1919" s="5" t="s">
        <v>20</v>
      </c>
      <c r="C1919" s="5" t="s">
        <v>1647</v>
      </c>
      <c r="D1919" s="6">
        <v>44800</v>
      </c>
      <c r="E1919" s="20">
        <v>668</v>
      </c>
      <c r="F1919" s="7">
        <v>0</v>
      </c>
      <c r="J1919" s="16"/>
    </row>
    <row r="1920" spans="1:10" ht="30.75" thickBot="1" x14ac:dyDescent="0.3">
      <c r="A1920" s="8">
        <v>1919</v>
      </c>
      <c r="B1920" s="9" t="s">
        <v>22</v>
      </c>
      <c r="C1920" s="9" t="s">
        <v>1648</v>
      </c>
      <c r="D1920" s="10">
        <v>44903</v>
      </c>
      <c r="E1920" s="21">
        <v>978</v>
      </c>
      <c r="F1920" s="11">
        <v>0</v>
      </c>
      <c r="J1920" s="16"/>
    </row>
    <row r="1921" spans="1:10" ht="30.75" thickBot="1" x14ac:dyDescent="0.3">
      <c r="A1921" s="8">
        <v>1920</v>
      </c>
      <c r="B1921" s="9" t="s">
        <v>24</v>
      </c>
      <c r="C1921" s="9" t="s">
        <v>1649</v>
      </c>
      <c r="D1921" s="10">
        <v>44900</v>
      </c>
      <c r="E1921" s="21">
        <v>468</v>
      </c>
      <c r="F1921" s="11">
        <v>0</v>
      </c>
      <c r="J1921" s="16"/>
    </row>
    <row r="1922" spans="1:10" ht="30.75" thickBot="1" x14ac:dyDescent="0.3">
      <c r="A1922" s="4">
        <v>1921</v>
      </c>
      <c r="B1922" s="5" t="s">
        <v>6</v>
      </c>
      <c r="C1922" s="5" t="s">
        <v>1650</v>
      </c>
      <c r="D1922" s="6">
        <v>44753</v>
      </c>
      <c r="E1922" s="20">
        <v>804</v>
      </c>
      <c r="F1922" s="7">
        <v>0</v>
      </c>
      <c r="J1922" s="16"/>
    </row>
    <row r="1923" spans="1:10" ht="15.75" thickBot="1" x14ac:dyDescent="0.3">
      <c r="A1923" s="4">
        <v>1922</v>
      </c>
      <c r="B1923" s="5" t="s">
        <v>8</v>
      </c>
      <c r="C1923" s="5" t="s">
        <v>1651</v>
      </c>
      <c r="D1923" s="6">
        <v>44793</v>
      </c>
      <c r="E1923" s="20">
        <v>934</v>
      </c>
      <c r="F1923" s="7">
        <v>0</v>
      </c>
      <c r="J1923" s="16"/>
    </row>
    <row r="1924" spans="1:10" ht="30.75" thickBot="1" x14ac:dyDescent="0.3">
      <c r="A1924" s="8">
        <v>1923</v>
      </c>
      <c r="B1924" s="9" t="s">
        <v>10</v>
      </c>
      <c r="C1924" s="9" t="s">
        <v>1652</v>
      </c>
      <c r="D1924" s="10">
        <v>44732</v>
      </c>
      <c r="E1924" s="21">
        <v>824</v>
      </c>
      <c r="F1924" s="11">
        <v>0</v>
      </c>
      <c r="J1924" s="16"/>
    </row>
    <row r="1925" spans="1:10" ht="30.75" thickBot="1" x14ac:dyDescent="0.3">
      <c r="A1925" s="8">
        <v>1924</v>
      </c>
      <c r="B1925" s="9" t="s">
        <v>12</v>
      </c>
      <c r="C1925" s="9" t="s">
        <v>1653</v>
      </c>
      <c r="D1925" s="10">
        <v>44939</v>
      </c>
      <c r="E1925" s="21">
        <v>438</v>
      </c>
      <c r="F1925" s="11">
        <v>0</v>
      </c>
      <c r="J1925" s="16"/>
    </row>
    <row r="1926" spans="1:10" ht="30.75" thickBot="1" x14ac:dyDescent="0.3">
      <c r="A1926" s="4">
        <v>1925</v>
      </c>
      <c r="B1926" s="5" t="s">
        <v>14</v>
      </c>
      <c r="C1926" s="5" t="s">
        <v>1654</v>
      </c>
      <c r="D1926" s="6">
        <v>44891</v>
      </c>
      <c r="E1926" s="20">
        <v>839</v>
      </c>
      <c r="F1926" s="7">
        <v>0</v>
      </c>
      <c r="J1926" s="16"/>
    </row>
    <row r="1927" spans="1:10" ht="30.75" thickBot="1" x14ac:dyDescent="0.3">
      <c r="A1927" s="4">
        <v>1926</v>
      </c>
      <c r="B1927" s="5" t="s">
        <v>16</v>
      </c>
      <c r="C1927" s="5" t="s">
        <v>1655</v>
      </c>
      <c r="D1927" s="6">
        <v>44902</v>
      </c>
      <c r="E1927" s="20">
        <v>706</v>
      </c>
      <c r="F1927" s="7">
        <v>0</v>
      </c>
      <c r="J1927" s="16"/>
    </row>
    <row r="1928" spans="1:10" ht="15.75" thickBot="1" x14ac:dyDescent="0.3">
      <c r="A1928" s="8">
        <v>1927</v>
      </c>
      <c r="B1928" s="9" t="s">
        <v>18</v>
      </c>
      <c r="C1928" s="9" t="s">
        <v>1656</v>
      </c>
      <c r="D1928" s="10">
        <v>44772</v>
      </c>
      <c r="E1928" s="21">
        <v>759</v>
      </c>
      <c r="F1928" s="11">
        <v>0</v>
      </c>
      <c r="J1928" s="16"/>
    </row>
    <row r="1929" spans="1:10" ht="15.75" thickBot="1" x14ac:dyDescent="0.3">
      <c r="A1929" s="8">
        <v>1928</v>
      </c>
      <c r="B1929" s="9" t="s">
        <v>20</v>
      </c>
      <c r="C1929" s="9" t="s">
        <v>1657</v>
      </c>
      <c r="D1929" s="10">
        <v>44983</v>
      </c>
      <c r="E1929" s="21">
        <v>914</v>
      </c>
      <c r="F1929" s="11">
        <v>0</v>
      </c>
      <c r="J1929" s="16"/>
    </row>
    <row r="1930" spans="1:10" ht="30.75" thickBot="1" x14ac:dyDescent="0.3">
      <c r="A1930" s="4">
        <v>1929</v>
      </c>
      <c r="B1930" s="5" t="s">
        <v>22</v>
      </c>
      <c r="C1930" s="5" t="s">
        <v>1658</v>
      </c>
      <c r="D1930" s="6">
        <v>44900</v>
      </c>
      <c r="E1930" s="20">
        <v>615</v>
      </c>
      <c r="F1930" s="7">
        <v>0</v>
      </c>
      <c r="J1930" s="16"/>
    </row>
    <row r="1931" spans="1:10" ht="30.75" thickBot="1" x14ac:dyDescent="0.3">
      <c r="A1931" s="4">
        <v>1930</v>
      </c>
      <c r="B1931" s="5" t="s">
        <v>24</v>
      </c>
      <c r="C1931" s="5" t="s">
        <v>1659</v>
      </c>
      <c r="D1931" s="6">
        <v>44977</v>
      </c>
      <c r="E1931" s="20">
        <v>816</v>
      </c>
      <c r="F1931" s="7">
        <v>0</v>
      </c>
      <c r="J1931" s="16"/>
    </row>
    <row r="1932" spans="1:10" ht="30.75" thickBot="1" x14ac:dyDescent="0.3">
      <c r="A1932" s="8">
        <v>1931</v>
      </c>
      <c r="B1932" s="9" t="s">
        <v>6</v>
      </c>
      <c r="C1932" s="9" t="s">
        <v>1660</v>
      </c>
      <c r="D1932" s="10">
        <v>44762</v>
      </c>
      <c r="E1932" s="21">
        <v>443</v>
      </c>
      <c r="F1932" s="11">
        <v>0</v>
      </c>
      <c r="J1932" s="16"/>
    </row>
    <row r="1933" spans="1:10" ht="15.75" thickBot="1" x14ac:dyDescent="0.3">
      <c r="A1933" s="8">
        <v>1932</v>
      </c>
      <c r="B1933" s="9" t="s">
        <v>8</v>
      </c>
      <c r="C1933" s="9" t="s">
        <v>1661</v>
      </c>
      <c r="D1933" s="10">
        <v>45011</v>
      </c>
      <c r="E1933" s="21">
        <v>939</v>
      </c>
      <c r="F1933" s="11">
        <v>0</v>
      </c>
      <c r="J1933" s="16"/>
    </row>
    <row r="1934" spans="1:10" ht="30.75" thickBot="1" x14ac:dyDescent="0.3">
      <c r="A1934" s="4">
        <v>1933</v>
      </c>
      <c r="B1934" s="5" t="s">
        <v>10</v>
      </c>
      <c r="C1934" s="5" t="s">
        <v>1662</v>
      </c>
      <c r="D1934" s="6">
        <v>45015</v>
      </c>
      <c r="E1934" s="20">
        <v>853</v>
      </c>
      <c r="F1934" s="7">
        <v>0</v>
      </c>
      <c r="J1934" s="16"/>
    </row>
    <row r="1935" spans="1:10" ht="30.75" thickBot="1" x14ac:dyDescent="0.3">
      <c r="A1935" s="4">
        <v>1934</v>
      </c>
      <c r="B1935" s="5" t="s">
        <v>12</v>
      </c>
      <c r="C1935" s="5" t="s">
        <v>1663</v>
      </c>
      <c r="D1935" s="6">
        <v>44816</v>
      </c>
      <c r="E1935" s="20">
        <v>449</v>
      </c>
      <c r="F1935" s="7">
        <v>0</v>
      </c>
      <c r="J1935" s="16"/>
    </row>
    <row r="1936" spans="1:10" ht="30.75" thickBot="1" x14ac:dyDescent="0.3">
      <c r="A1936" s="8">
        <v>1935</v>
      </c>
      <c r="B1936" s="9" t="s">
        <v>14</v>
      </c>
      <c r="C1936" s="9" t="s">
        <v>1664</v>
      </c>
      <c r="D1936" s="10">
        <v>44655</v>
      </c>
      <c r="E1936" s="21">
        <v>539</v>
      </c>
      <c r="F1936" s="11">
        <v>0</v>
      </c>
      <c r="J1936" s="16"/>
    </row>
    <row r="1937" spans="1:10" ht="30.75" thickBot="1" x14ac:dyDescent="0.3">
      <c r="A1937" s="8">
        <v>1936</v>
      </c>
      <c r="B1937" s="9" t="s">
        <v>16</v>
      </c>
      <c r="C1937" s="9" t="s">
        <v>1665</v>
      </c>
      <c r="D1937" s="10">
        <v>44933</v>
      </c>
      <c r="E1937" s="21">
        <v>812</v>
      </c>
      <c r="F1937" s="11">
        <v>0</v>
      </c>
      <c r="J1937" s="16"/>
    </row>
    <row r="1938" spans="1:10" ht="15.75" thickBot="1" x14ac:dyDescent="0.3">
      <c r="A1938" s="4">
        <v>1937</v>
      </c>
      <c r="B1938" s="5" t="s">
        <v>18</v>
      </c>
      <c r="C1938" s="5" t="s">
        <v>1666</v>
      </c>
      <c r="D1938" s="6">
        <v>44963</v>
      </c>
      <c r="E1938" s="20">
        <v>929</v>
      </c>
      <c r="F1938" s="7">
        <v>0</v>
      </c>
      <c r="J1938" s="16"/>
    </row>
    <row r="1939" spans="1:10" ht="15.75" thickBot="1" x14ac:dyDescent="0.3">
      <c r="A1939" s="4">
        <v>1938</v>
      </c>
      <c r="B1939" s="5" t="s">
        <v>20</v>
      </c>
      <c r="C1939" s="5" t="s">
        <v>1667</v>
      </c>
      <c r="D1939" s="6">
        <v>44818</v>
      </c>
      <c r="E1939" s="20">
        <v>668</v>
      </c>
      <c r="F1939" s="7">
        <v>0</v>
      </c>
      <c r="J1939" s="16"/>
    </row>
    <row r="1940" spans="1:10" ht="30.75" thickBot="1" x14ac:dyDescent="0.3">
      <c r="A1940" s="8">
        <v>1939</v>
      </c>
      <c r="B1940" s="9" t="s">
        <v>22</v>
      </c>
      <c r="C1940" s="9" t="s">
        <v>1668</v>
      </c>
      <c r="D1940" s="10">
        <v>44893</v>
      </c>
      <c r="E1940" s="21">
        <v>857</v>
      </c>
      <c r="F1940" s="11">
        <v>0</v>
      </c>
      <c r="J1940" s="16"/>
    </row>
    <row r="1941" spans="1:10" ht="30.75" thickBot="1" x14ac:dyDescent="0.3">
      <c r="A1941" s="8">
        <v>1940</v>
      </c>
      <c r="B1941" s="9" t="s">
        <v>24</v>
      </c>
      <c r="C1941" s="9" t="s">
        <v>1669</v>
      </c>
      <c r="D1941" s="10">
        <v>44728</v>
      </c>
      <c r="E1941" s="21">
        <v>407</v>
      </c>
      <c r="F1941" s="11">
        <v>0</v>
      </c>
      <c r="J1941" s="16"/>
    </row>
    <row r="1942" spans="1:10" ht="30.75" thickBot="1" x14ac:dyDescent="0.3">
      <c r="A1942" s="4">
        <v>1941</v>
      </c>
      <c r="B1942" s="5" t="s">
        <v>6</v>
      </c>
      <c r="C1942" s="5" t="s">
        <v>1670</v>
      </c>
      <c r="D1942" s="6">
        <v>44794</v>
      </c>
      <c r="E1942" s="20">
        <v>807</v>
      </c>
      <c r="F1942" s="7">
        <v>0</v>
      </c>
      <c r="J1942" s="16"/>
    </row>
    <row r="1943" spans="1:10" ht="15.75" thickBot="1" x14ac:dyDescent="0.3">
      <c r="A1943" s="4">
        <v>1942</v>
      </c>
      <c r="B1943" s="5" t="s">
        <v>8</v>
      </c>
      <c r="C1943" s="5" t="s">
        <v>1671</v>
      </c>
      <c r="D1943" s="6">
        <v>44845</v>
      </c>
      <c r="E1943" s="20">
        <v>735</v>
      </c>
      <c r="F1943" s="7">
        <v>0</v>
      </c>
      <c r="J1943" s="16"/>
    </row>
    <row r="1944" spans="1:10" ht="30.75" thickBot="1" x14ac:dyDescent="0.3">
      <c r="A1944" s="8">
        <v>1943</v>
      </c>
      <c r="B1944" s="9" t="s">
        <v>10</v>
      </c>
      <c r="C1944" s="9" t="s">
        <v>1672</v>
      </c>
      <c r="D1944" s="10">
        <v>45012</v>
      </c>
      <c r="E1944" s="21">
        <v>750</v>
      </c>
      <c r="F1944" s="11">
        <v>0</v>
      </c>
      <c r="J1944" s="16"/>
    </row>
    <row r="1945" spans="1:10" ht="30.75" thickBot="1" x14ac:dyDescent="0.3">
      <c r="A1945" s="8">
        <v>1944</v>
      </c>
      <c r="B1945" s="9" t="s">
        <v>12</v>
      </c>
      <c r="C1945" s="9" t="s">
        <v>1673</v>
      </c>
      <c r="D1945" s="10">
        <v>44654</v>
      </c>
      <c r="E1945" s="21">
        <v>884</v>
      </c>
      <c r="F1945" s="11">
        <v>0</v>
      </c>
      <c r="J1945" s="16"/>
    </row>
    <row r="1946" spans="1:10" ht="30.75" thickBot="1" x14ac:dyDescent="0.3">
      <c r="A1946" s="4">
        <v>1945</v>
      </c>
      <c r="B1946" s="5" t="s">
        <v>14</v>
      </c>
      <c r="C1946" s="5" t="s">
        <v>1674</v>
      </c>
      <c r="D1946" s="6">
        <v>44823</v>
      </c>
      <c r="E1946" s="20">
        <v>833</v>
      </c>
      <c r="F1946" s="7">
        <v>0</v>
      </c>
      <c r="J1946" s="16"/>
    </row>
    <row r="1947" spans="1:10" ht="30.75" thickBot="1" x14ac:dyDescent="0.3">
      <c r="A1947" s="4">
        <v>1946</v>
      </c>
      <c r="B1947" s="5" t="s">
        <v>16</v>
      </c>
      <c r="C1947" s="5" t="s">
        <v>1675</v>
      </c>
      <c r="D1947" s="6">
        <v>44931</v>
      </c>
      <c r="E1947" s="20">
        <v>686</v>
      </c>
      <c r="F1947" s="7">
        <v>0</v>
      </c>
      <c r="J1947" s="16"/>
    </row>
    <row r="1948" spans="1:10" ht="15.75" thickBot="1" x14ac:dyDescent="0.3">
      <c r="A1948" s="8">
        <v>1947</v>
      </c>
      <c r="B1948" s="9" t="s">
        <v>18</v>
      </c>
      <c r="C1948" s="9" t="s">
        <v>1676</v>
      </c>
      <c r="D1948" s="10">
        <v>44732</v>
      </c>
      <c r="E1948" s="21">
        <v>533</v>
      </c>
      <c r="F1948" s="11">
        <v>0</v>
      </c>
      <c r="J1948" s="16"/>
    </row>
    <row r="1949" spans="1:10" ht="15.75" thickBot="1" x14ac:dyDescent="0.3">
      <c r="A1949" s="8">
        <v>1948</v>
      </c>
      <c r="B1949" s="9" t="s">
        <v>20</v>
      </c>
      <c r="C1949" s="9" t="s">
        <v>1677</v>
      </c>
      <c r="D1949" s="10">
        <v>44906</v>
      </c>
      <c r="E1949" s="21">
        <v>871</v>
      </c>
      <c r="F1949" s="11">
        <v>0</v>
      </c>
      <c r="J1949" s="16"/>
    </row>
    <row r="1950" spans="1:10" ht="30.75" thickBot="1" x14ac:dyDescent="0.3">
      <c r="A1950" s="4">
        <v>1949</v>
      </c>
      <c r="B1950" s="5" t="s">
        <v>22</v>
      </c>
      <c r="C1950" s="5" t="s">
        <v>1678</v>
      </c>
      <c r="D1950" s="6">
        <v>44797</v>
      </c>
      <c r="E1950" s="20">
        <v>937</v>
      </c>
      <c r="F1950" s="7">
        <v>0</v>
      </c>
      <c r="J1950" s="16"/>
    </row>
    <row r="1951" spans="1:10" ht="30.75" thickBot="1" x14ac:dyDescent="0.3">
      <c r="A1951" s="4">
        <v>1950</v>
      </c>
      <c r="B1951" s="5" t="s">
        <v>24</v>
      </c>
      <c r="C1951" s="5" t="s">
        <v>1679</v>
      </c>
      <c r="D1951" s="6">
        <v>44673</v>
      </c>
      <c r="E1951" s="20">
        <v>778</v>
      </c>
      <c r="F1951" s="7">
        <v>0</v>
      </c>
      <c r="J1951" s="16"/>
    </row>
    <row r="1952" spans="1:10" ht="30.75" thickBot="1" x14ac:dyDescent="0.3">
      <c r="A1952" s="8">
        <v>1951</v>
      </c>
      <c r="B1952" s="9" t="s">
        <v>6</v>
      </c>
      <c r="C1952" s="9" t="s">
        <v>1680</v>
      </c>
      <c r="D1952" s="10">
        <v>44821</v>
      </c>
      <c r="E1952" s="21">
        <v>712</v>
      </c>
      <c r="F1952" s="11">
        <v>0</v>
      </c>
      <c r="J1952" s="16"/>
    </row>
    <row r="1953" spans="1:10" ht="15.75" thickBot="1" x14ac:dyDescent="0.3">
      <c r="A1953" s="8">
        <v>1952</v>
      </c>
      <c r="B1953" s="9" t="s">
        <v>8</v>
      </c>
      <c r="C1953" s="9" t="s">
        <v>1681</v>
      </c>
      <c r="D1953" s="10">
        <v>44735</v>
      </c>
      <c r="E1953" s="21">
        <v>1000</v>
      </c>
      <c r="F1953" s="11">
        <v>0</v>
      </c>
      <c r="J1953" s="16"/>
    </row>
    <row r="1954" spans="1:10" ht="30.75" thickBot="1" x14ac:dyDescent="0.3">
      <c r="A1954" s="4">
        <v>1953</v>
      </c>
      <c r="B1954" s="5" t="s">
        <v>10</v>
      </c>
      <c r="C1954" s="5" t="s">
        <v>1682</v>
      </c>
      <c r="D1954" s="6">
        <v>44667</v>
      </c>
      <c r="E1954" s="20">
        <v>975</v>
      </c>
      <c r="F1954" s="7">
        <v>0</v>
      </c>
      <c r="J1954" s="16"/>
    </row>
    <row r="1955" spans="1:10" ht="30.75" thickBot="1" x14ac:dyDescent="0.3">
      <c r="A1955" s="4">
        <v>1954</v>
      </c>
      <c r="B1955" s="5" t="s">
        <v>12</v>
      </c>
      <c r="C1955" s="5" t="s">
        <v>1683</v>
      </c>
      <c r="D1955" s="6">
        <v>45012</v>
      </c>
      <c r="E1955" s="20">
        <v>656</v>
      </c>
      <c r="F1955" s="7">
        <v>0</v>
      </c>
      <c r="J1955" s="16"/>
    </row>
    <row r="1956" spans="1:10" ht="30.75" thickBot="1" x14ac:dyDescent="0.3">
      <c r="A1956" s="8">
        <v>1955</v>
      </c>
      <c r="B1956" s="9" t="s">
        <v>14</v>
      </c>
      <c r="C1956" s="9" t="s">
        <v>1684</v>
      </c>
      <c r="D1956" s="10">
        <v>44986</v>
      </c>
      <c r="E1956" s="21">
        <v>441</v>
      </c>
      <c r="F1956" s="11">
        <v>0</v>
      </c>
      <c r="J1956" s="16"/>
    </row>
    <row r="1957" spans="1:10" ht="30.75" thickBot="1" x14ac:dyDescent="0.3">
      <c r="A1957" s="8">
        <v>1956</v>
      </c>
      <c r="B1957" s="9" t="s">
        <v>16</v>
      </c>
      <c r="C1957" s="9" t="s">
        <v>1685</v>
      </c>
      <c r="D1957" s="10">
        <v>44713</v>
      </c>
      <c r="E1957" s="21">
        <v>834</v>
      </c>
      <c r="F1957" s="11">
        <v>0</v>
      </c>
      <c r="J1957" s="16"/>
    </row>
    <row r="1958" spans="1:10" ht="15.75" thickBot="1" x14ac:dyDescent="0.3">
      <c r="A1958" s="4">
        <v>1957</v>
      </c>
      <c r="B1958" s="5" t="s">
        <v>18</v>
      </c>
      <c r="C1958" s="5" t="s">
        <v>1686</v>
      </c>
      <c r="D1958" s="6">
        <v>44695</v>
      </c>
      <c r="E1958" s="20">
        <v>969</v>
      </c>
      <c r="F1958" s="7">
        <v>0</v>
      </c>
      <c r="J1958" s="16"/>
    </row>
    <row r="1959" spans="1:10" ht="15.75" thickBot="1" x14ac:dyDescent="0.3">
      <c r="A1959" s="4">
        <v>1958</v>
      </c>
      <c r="B1959" s="5" t="s">
        <v>20</v>
      </c>
      <c r="C1959" s="5" t="s">
        <v>1687</v>
      </c>
      <c r="D1959" s="6">
        <v>44868</v>
      </c>
      <c r="E1959" s="20">
        <v>928</v>
      </c>
      <c r="F1959" s="7">
        <v>0</v>
      </c>
      <c r="J1959" s="16"/>
    </row>
    <row r="1960" spans="1:10" ht="30.75" thickBot="1" x14ac:dyDescent="0.3">
      <c r="A1960" s="8">
        <v>1959</v>
      </c>
      <c r="B1960" s="9" t="s">
        <v>22</v>
      </c>
      <c r="C1960" s="9" t="s">
        <v>1688</v>
      </c>
      <c r="D1960" s="10">
        <v>44930</v>
      </c>
      <c r="E1960" s="21">
        <v>774</v>
      </c>
      <c r="F1960" s="11">
        <v>0</v>
      </c>
      <c r="J1960" s="16"/>
    </row>
    <row r="1961" spans="1:10" ht="30.75" thickBot="1" x14ac:dyDescent="0.3">
      <c r="A1961" s="8">
        <v>1960</v>
      </c>
      <c r="B1961" s="9" t="s">
        <v>24</v>
      </c>
      <c r="C1961" s="9" t="s">
        <v>1689</v>
      </c>
      <c r="D1961" s="10">
        <v>44895</v>
      </c>
      <c r="E1961" s="21">
        <v>452</v>
      </c>
      <c r="F1961" s="11">
        <v>0</v>
      </c>
      <c r="J1961" s="16"/>
    </row>
    <row r="1962" spans="1:10" ht="30.75" thickBot="1" x14ac:dyDescent="0.3">
      <c r="A1962" s="4">
        <v>1961</v>
      </c>
      <c r="B1962" s="5" t="s">
        <v>6</v>
      </c>
      <c r="C1962" s="5" t="s">
        <v>1690</v>
      </c>
      <c r="D1962" s="6">
        <v>44825</v>
      </c>
      <c r="E1962" s="20">
        <v>619</v>
      </c>
      <c r="F1962" s="7">
        <v>0</v>
      </c>
      <c r="J1962" s="16"/>
    </row>
    <row r="1963" spans="1:10" ht="15.75" thickBot="1" x14ac:dyDescent="0.3">
      <c r="A1963" s="4">
        <v>1962</v>
      </c>
      <c r="B1963" s="5" t="s">
        <v>8</v>
      </c>
      <c r="C1963" s="5" t="s">
        <v>1691</v>
      </c>
      <c r="D1963" s="6">
        <v>44625</v>
      </c>
      <c r="E1963" s="20">
        <v>980</v>
      </c>
      <c r="F1963" s="7">
        <v>0</v>
      </c>
      <c r="J1963" s="16"/>
    </row>
    <row r="1964" spans="1:10" ht="30.75" thickBot="1" x14ac:dyDescent="0.3">
      <c r="A1964" s="8">
        <v>1963</v>
      </c>
      <c r="B1964" s="9" t="s">
        <v>10</v>
      </c>
      <c r="C1964" s="9" t="s">
        <v>1692</v>
      </c>
      <c r="D1964" s="10">
        <v>44748</v>
      </c>
      <c r="E1964" s="21">
        <v>562</v>
      </c>
      <c r="F1964" s="11">
        <v>0</v>
      </c>
      <c r="J1964" s="16"/>
    </row>
    <row r="1965" spans="1:10" ht="30.75" thickBot="1" x14ac:dyDescent="0.3">
      <c r="A1965" s="8">
        <v>1964</v>
      </c>
      <c r="B1965" s="9" t="s">
        <v>12</v>
      </c>
      <c r="C1965" s="9" t="s">
        <v>1693</v>
      </c>
      <c r="D1965" s="10">
        <v>44905</v>
      </c>
      <c r="E1965" s="21">
        <v>512</v>
      </c>
      <c r="F1965" s="11">
        <v>0</v>
      </c>
      <c r="J1965" s="16"/>
    </row>
    <row r="1966" spans="1:10" ht="30.75" thickBot="1" x14ac:dyDescent="0.3">
      <c r="A1966" s="4">
        <v>1965</v>
      </c>
      <c r="B1966" s="5" t="s">
        <v>14</v>
      </c>
      <c r="C1966" s="5" t="s">
        <v>1694</v>
      </c>
      <c r="D1966" s="6">
        <v>44974</v>
      </c>
      <c r="E1966" s="20">
        <v>613</v>
      </c>
      <c r="F1966" s="7">
        <v>0</v>
      </c>
      <c r="J1966" s="16"/>
    </row>
    <row r="1967" spans="1:10" ht="30.75" thickBot="1" x14ac:dyDescent="0.3">
      <c r="A1967" s="4">
        <v>1966</v>
      </c>
      <c r="B1967" s="5" t="s">
        <v>16</v>
      </c>
      <c r="C1967" s="5" t="s">
        <v>1695</v>
      </c>
      <c r="D1967" s="6">
        <v>44938</v>
      </c>
      <c r="E1967" s="20">
        <v>714</v>
      </c>
      <c r="F1967" s="7">
        <v>0</v>
      </c>
      <c r="J1967" s="16"/>
    </row>
    <row r="1968" spans="1:10" ht="15.75" thickBot="1" x14ac:dyDescent="0.3">
      <c r="A1968" s="8">
        <v>1967</v>
      </c>
      <c r="B1968" s="9" t="s">
        <v>18</v>
      </c>
      <c r="C1968" s="9" t="s">
        <v>1696</v>
      </c>
      <c r="D1968" s="10">
        <v>44733</v>
      </c>
      <c r="E1968" s="21">
        <v>706</v>
      </c>
      <c r="F1968" s="11">
        <v>0</v>
      </c>
      <c r="J1968" s="16"/>
    </row>
    <row r="1969" spans="1:10" ht="15.75" thickBot="1" x14ac:dyDescent="0.3">
      <c r="A1969" s="8">
        <v>1968</v>
      </c>
      <c r="B1969" s="9" t="s">
        <v>20</v>
      </c>
      <c r="C1969" s="9" t="s">
        <v>1697</v>
      </c>
      <c r="D1969" s="10">
        <v>44967</v>
      </c>
      <c r="E1969" s="21">
        <v>989</v>
      </c>
      <c r="F1969" s="11">
        <v>0</v>
      </c>
      <c r="J1969" s="16"/>
    </row>
    <row r="1970" spans="1:10" ht="30.75" thickBot="1" x14ac:dyDescent="0.3">
      <c r="A1970" s="4">
        <v>1969</v>
      </c>
      <c r="B1970" s="5" t="s">
        <v>22</v>
      </c>
      <c r="C1970" s="5" t="s">
        <v>1698</v>
      </c>
      <c r="D1970" s="6">
        <v>44845</v>
      </c>
      <c r="E1970" s="20">
        <v>401</v>
      </c>
      <c r="F1970" s="7">
        <v>0</v>
      </c>
      <c r="J1970" s="16"/>
    </row>
    <row r="1971" spans="1:10" ht="30.75" thickBot="1" x14ac:dyDescent="0.3">
      <c r="A1971" s="4">
        <v>1970</v>
      </c>
      <c r="B1971" s="5" t="s">
        <v>24</v>
      </c>
      <c r="C1971" s="5" t="s">
        <v>1699</v>
      </c>
      <c r="D1971" s="6">
        <v>44715</v>
      </c>
      <c r="E1971" s="20">
        <v>739</v>
      </c>
      <c r="F1971" s="7">
        <v>0</v>
      </c>
      <c r="J1971" s="16"/>
    </row>
    <row r="1972" spans="1:10" ht="30.75" thickBot="1" x14ac:dyDescent="0.3">
      <c r="A1972" s="8">
        <v>1971</v>
      </c>
      <c r="B1972" s="9" t="s">
        <v>6</v>
      </c>
      <c r="C1972" s="9" t="s">
        <v>1700</v>
      </c>
      <c r="D1972" s="10">
        <v>44929</v>
      </c>
      <c r="E1972" s="21">
        <v>834</v>
      </c>
      <c r="F1972" s="11">
        <v>0</v>
      </c>
      <c r="J1972" s="16"/>
    </row>
    <row r="1973" spans="1:10" ht="15.75" thickBot="1" x14ac:dyDescent="0.3">
      <c r="A1973" s="8">
        <v>1972</v>
      </c>
      <c r="B1973" s="9" t="s">
        <v>8</v>
      </c>
      <c r="C1973" s="9" t="s">
        <v>1701</v>
      </c>
      <c r="D1973" s="10">
        <v>44856</v>
      </c>
      <c r="E1973" s="21">
        <v>605</v>
      </c>
      <c r="F1973" s="11">
        <v>0</v>
      </c>
      <c r="J1973" s="16"/>
    </row>
    <row r="1974" spans="1:10" ht="30.75" thickBot="1" x14ac:dyDescent="0.3">
      <c r="A1974" s="4">
        <v>1973</v>
      </c>
      <c r="B1974" s="5" t="s">
        <v>10</v>
      </c>
      <c r="C1974" s="5" t="s">
        <v>1702</v>
      </c>
      <c r="D1974" s="6">
        <v>44690</v>
      </c>
      <c r="E1974" s="20">
        <v>745</v>
      </c>
      <c r="F1974" s="7">
        <v>0</v>
      </c>
      <c r="J1974" s="16"/>
    </row>
    <row r="1975" spans="1:10" ht="30.75" thickBot="1" x14ac:dyDescent="0.3">
      <c r="A1975" s="4">
        <v>1974</v>
      </c>
      <c r="B1975" s="5" t="s">
        <v>12</v>
      </c>
      <c r="C1975" s="5" t="s">
        <v>1703</v>
      </c>
      <c r="D1975" s="6">
        <v>44930</v>
      </c>
      <c r="E1975" s="20">
        <v>658</v>
      </c>
      <c r="F1975" s="7">
        <v>0</v>
      </c>
      <c r="J1975" s="16"/>
    </row>
    <row r="1976" spans="1:10" ht="30.75" thickBot="1" x14ac:dyDescent="0.3">
      <c r="A1976" s="8">
        <v>1975</v>
      </c>
      <c r="B1976" s="9" t="s">
        <v>14</v>
      </c>
      <c r="C1976" s="9" t="s">
        <v>1704</v>
      </c>
      <c r="D1976" s="10">
        <v>44618</v>
      </c>
      <c r="E1976" s="21">
        <v>986</v>
      </c>
      <c r="F1976" s="11">
        <v>0</v>
      </c>
      <c r="J1976" s="16"/>
    </row>
    <row r="1977" spans="1:10" ht="30.75" thickBot="1" x14ac:dyDescent="0.3">
      <c r="A1977" s="8">
        <v>1976</v>
      </c>
      <c r="B1977" s="9" t="s">
        <v>16</v>
      </c>
      <c r="C1977" s="9" t="s">
        <v>1705</v>
      </c>
      <c r="D1977" s="10">
        <v>44798</v>
      </c>
      <c r="E1977" s="21">
        <v>692</v>
      </c>
      <c r="F1977" s="11">
        <v>0</v>
      </c>
      <c r="J1977" s="16"/>
    </row>
    <row r="1978" spans="1:10" ht="15.75" thickBot="1" x14ac:dyDescent="0.3">
      <c r="A1978" s="4">
        <v>1977</v>
      </c>
      <c r="B1978" s="5" t="s">
        <v>18</v>
      </c>
      <c r="C1978" s="5" t="s">
        <v>1706</v>
      </c>
      <c r="D1978" s="6">
        <v>44664</v>
      </c>
      <c r="E1978" s="20">
        <v>701</v>
      </c>
      <c r="F1978" s="7">
        <v>0</v>
      </c>
      <c r="J1978" s="16"/>
    </row>
    <row r="1979" spans="1:10" ht="15.75" thickBot="1" x14ac:dyDescent="0.3">
      <c r="A1979" s="4">
        <v>1978</v>
      </c>
      <c r="B1979" s="5" t="s">
        <v>20</v>
      </c>
      <c r="C1979" s="5" t="s">
        <v>1707</v>
      </c>
      <c r="D1979" s="6">
        <v>44811</v>
      </c>
      <c r="E1979" s="20">
        <v>778</v>
      </c>
      <c r="F1979" s="7">
        <v>0</v>
      </c>
      <c r="J1979" s="16"/>
    </row>
    <row r="1980" spans="1:10" ht="30.75" thickBot="1" x14ac:dyDescent="0.3">
      <c r="A1980" s="8">
        <v>1979</v>
      </c>
      <c r="B1980" s="9" t="s">
        <v>22</v>
      </c>
      <c r="C1980" s="9" t="s">
        <v>1708</v>
      </c>
      <c r="D1980" s="10">
        <v>44772</v>
      </c>
      <c r="E1980" s="21">
        <v>597</v>
      </c>
      <c r="F1980" s="11">
        <v>0</v>
      </c>
      <c r="J1980" s="16"/>
    </row>
    <row r="1981" spans="1:10" ht="30.75" thickBot="1" x14ac:dyDescent="0.3">
      <c r="A1981" s="8">
        <v>1980</v>
      </c>
      <c r="B1981" s="9" t="s">
        <v>24</v>
      </c>
      <c r="C1981" s="9" t="s">
        <v>1709</v>
      </c>
      <c r="D1981" s="10">
        <v>44939</v>
      </c>
      <c r="E1981" s="21">
        <v>775</v>
      </c>
      <c r="F1981" s="11">
        <v>0</v>
      </c>
      <c r="J1981" s="16"/>
    </row>
    <row r="1982" spans="1:10" ht="30.75" thickBot="1" x14ac:dyDescent="0.3">
      <c r="A1982" s="4">
        <v>1981</v>
      </c>
      <c r="B1982" s="5" t="s">
        <v>6</v>
      </c>
      <c r="C1982" s="5" t="s">
        <v>1710</v>
      </c>
      <c r="D1982" s="6">
        <v>44960</v>
      </c>
      <c r="E1982" s="20">
        <v>526</v>
      </c>
      <c r="F1982" s="7">
        <v>0</v>
      </c>
      <c r="J1982" s="16"/>
    </row>
    <row r="1983" spans="1:10" ht="15.75" thickBot="1" x14ac:dyDescent="0.3">
      <c r="A1983" s="4">
        <v>1982</v>
      </c>
      <c r="B1983" s="5" t="s">
        <v>8</v>
      </c>
      <c r="C1983" s="5" t="s">
        <v>1711</v>
      </c>
      <c r="D1983" s="6">
        <v>44649</v>
      </c>
      <c r="E1983" s="20">
        <v>464</v>
      </c>
      <c r="F1983" s="7">
        <v>0</v>
      </c>
      <c r="J1983" s="16"/>
    </row>
    <row r="1984" spans="1:10" ht="30.75" thickBot="1" x14ac:dyDescent="0.3">
      <c r="A1984" s="8">
        <v>1983</v>
      </c>
      <c r="B1984" s="9" t="s">
        <v>10</v>
      </c>
      <c r="C1984" s="9" t="s">
        <v>1712</v>
      </c>
      <c r="D1984" s="10">
        <v>44751</v>
      </c>
      <c r="E1984" s="21">
        <v>971</v>
      </c>
      <c r="F1984" s="11">
        <v>0</v>
      </c>
      <c r="J1984" s="16"/>
    </row>
    <row r="1985" spans="1:10" ht="30.75" thickBot="1" x14ac:dyDescent="0.3">
      <c r="A1985" s="8">
        <v>1984</v>
      </c>
      <c r="B1985" s="9" t="s">
        <v>12</v>
      </c>
      <c r="C1985" s="9" t="s">
        <v>1713</v>
      </c>
      <c r="D1985" s="10">
        <v>44672</v>
      </c>
      <c r="E1985" s="21">
        <v>708</v>
      </c>
      <c r="F1985" s="11">
        <v>0</v>
      </c>
      <c r="J1985" s="16"/>
    </row>
    <row r="1986" spans="1:10" ht="30.75" thickBot="1" x14ac:dyDescent="0.3">
      <c r="A1986" s="4">
        <v>1985</v>
      </c>
      <c r="B1986" s="5" t="s">
        <v>14</v>
      </c>
      <c r="C1986" s="5" t="s">
        <v>1714</v>
      </c>
      <c r="D1986" s="6">
        <v>44645</v>
      </c>
      <c r="E1986" s="20">
        <v>836</v>
      </c>
      <c r="F1986" s="7">
        <v>0</v>
      </c>
      <c r="J1986" s="16"/>
    </row>
    <row r="1987" spans="1:10" ht="30.75" thickBot="1" x14ac:dyDescent="0.3">
      <c r="A1987" s="4">
        <v>1986</v>
      </c>
      <c r="B1987" s="5" t="s">
        <v>16</v>
      </c>
      <c r="C1987" s="5" t="s">
        <v>1715</v>
      </c>
      <c r="D1987" s="6">
        <v>44726</v>
      </c>
      <c r="E1987" s="20">
        <v>740</v>
      </c>
      <c r="F1987" s="7">
        <v>0</v>
      </c>
      <c r="J1987" s="16"/>
    </row>
    <row r="1988" spans="1:10" ht="15.75" thickBot="1" x14ac:dyDescent="0.3">
      <c r="A1988" s="8">
        <v>1987</v>
      </c>
      <c r="B1988" s="9" t="s">
        <v>18</v>
      </c>
      <c r="C1988" s="9" t="s">
        <v>1716</v>
      </c>
      <c r="D1988" s="10">
        <v>44987</v>
      </c>
      <c r="E1988" s="21">
        <v>581</v>
      </c>
      <c r="F1988" s="11">
        <v>0</v>
      </c>
      <c r="J1988" s="16"/>
    </row>
    <row r="1989" spans="1:10" ht="15.75" thickBot="1" x14ac:dyDescent="0.3">
      <c r="A1989" s="8">
        <v>1988</v>
      </c>
      <c r="B1989" s="9" t="s">
        <v>20</v>
      </c>
      <c r="C1989" s="9" t="s">
        <v>1717</v>
      </c>
      <c r="D1989" s="10">
        <v>44743</v>
      </c>
      <c r="E1989" s="21">
        <v>890</v>
      </c>
      <c r="F1989" s="11">
        <v>0</v>
      </c>
      <c r="J1989" s="16"/>
    </row>
    <row r="1990" spans="1:10" ht="30.75" thickBot="1" x14ac:dyDescent="0.3">
      <c r="A1990" s="4">
        <v>1989</v>
      </c>
      <c r="B1990" s="5" t="s">
        <v>22</v>
      </c>
      <c r="C1990" s="5" t="s">
        <v>1718</v>
      </c>
      <c r="D1990" s="6">
        <v>44916</v>
      </c>
      <c r="E1990" s="20">
        <v>489</v>
      </c>
      <c r="F1990" s="7">
        <v>0</v>
      </c>
      <c r="J1990" s="16"/>
    </row>
    <row r="1991" spans="1:10" ht="30.75" thickBot="1" x14ac:dyDescent="0.3">
      <c r="A1991" s="4">
        <v>1990</v>
      </c>
      <c r="B1991" s="5" t="s">
        <v>24</v>
      </c>
      <c r="C1991" s="5" t="s">
        <v>1719</v>
      </c>
      <c r="D1991" s="6">
        <v>44839</v>
      </c>
      <c r="E1991" s="20">
        <v>657</v>
      </c>
      <c r="F1991" s="7">
        <v>0</v>
      </c>
      <c r="J1991" s="16"/>
    </row>
    <row r="1992" spans="1:10" ht="30.75" thickBot="1" x14ac:dyDescent="0.3">
      <c r="A1992" s="8">
        <v>1991</v>
      </c>
      <c r="B1992" s="9" t="s">
        <v>6</v>
      </c>
      <c r="C1992" s="9" t="s">
        <v>1720</v>
      </c>
      <c r="D1992" s="10">
        <v>44834</v>
      </c>
      <c r="E1992" s="21">
        <v>624</v>
      </c>
      <c r="F1992" s="11">
        <v>0</v>
      </c>
      <c r="J1992" s="16"/>
    </row>
    <row r="1993" spans="1:10" ht="15.75" thickBot="1" x14ac:dyDescent="0.3">
      <c r="A1993" s="8">
        <v>1992</v>
      </c>
      <c r="B1993" s="9" t="s">
        <v>8</v>
      </c>
      <c r="C1993" s="9" t="s">
        <v>1721</v>
      </c>
      <c r="D1993" s="10">
        <v>44777</v>
      </c>
      <c r="E1993" s="21">
        <v>416</v>
      </c>
      <c r="F1993" s="11">
        <v>0</v>
      </c>
      <c r="J1993" s="16"/>
    </row>
    <row r="1994" spans="1:10" ht="30.75" thickBot="1" x14ac:dyDescent="0.3">
      <c r="A1994" s="4">
        <v>1993</v>
      </c>
      <c r="B1994" s="5" t="s">
        <v>10</v>
      </c>
      <c r="C1994" s="5" t="s">
        <v>1722</v>
      </c>
      <c r="D1994" s="6">
        <v>44952</v>
      </c>
      <c r="E1994" s="20">
        <v>419</v>
      </c>
      <c r="F1994" s="7">
        <v>0</v>
      </c>
      <c r="J1994" s="16"/>
    </row>
    <row r="1995" spans="1:10" ht="30.75" thickBot="1" x14ac:dyDescent="0.3">
      <c r="A1995" s="4">
        <v>1994</v>
      </c>
      <c r="B1995" s="5" t="s">
        <v>12</v>
      </c>
      <c r="C1995" s="5" t="s">
        <v>1723</v>
      </c>
      <c r="D1995" s="6">
        <v>44783</v>
      </c>
      <c r="E1995" s="20">
        <v>932</v>
      </c>
      <c r="F1995" s="7">
        <v>0</v>
      </c>
      <c r="J1995" s="16"/>
    </row>
    <row r="1996" spans="1:10" ht="30.75" thickBot="1" x14ac:dyDescent="0.3">
      <c r="A1996" s="8">
        <v>1995</v>
      </c>
      <c r="B1996" s="9" t="s">
        <v>14</v>
      </c>
      <c r="C1996" s="9" t="s">
        <v>1724</v>
      </c>
      <c r="D1996" s="10">
        <v>44797</v>
      </c>
      <c r="E1996" s="21">
        <v>749</v>
      </c>
      <c r="F1996" s="11">
        <v>0</v>
      </c>
      <c r="J1996" s="16"/>
    </row>
    <row r="1997" spans="1:10" ht="30.75" thickBot="1" x14ac:dyDescent="0.3">
      <c r="A1997" s="8">
        <v>1996</v>
      </c>
      <c r="B1997" s="9" t="s">
        <v>16</v>
      </c>
      <c r="C1997" s="9" t="s">
        <v>1725</v>
      </c>
      <c r="D1997" s="10">
        <v>44598</v>
      </c>
      <c r="E1997" s="21">
        <v>732</v>
      </c>
      <c r="F1997" s="11">
        <v>0</v>
      </c>
      <c r="J1997" s="16"/>
    </row>
    <row r="1998" spans="1:10" ht="15.75" thickBot="1" x14ac:dyDescent="0.3">
      <c r="A1998" s="4">
        <v>1997</v>
      </c>
      <c r="B1998" s="5" t="s">
        <v>18</v>
      </c>
      <c r="C1998" s="5" t="s">
        <v>1726</v>
      </c>
      <c r="D1998" s="6">
        <v>44922</v>
      </c>
      <c r="E1998" s="20">
        <v>910</v>
      </c>
      <c r="F1998" s="7">
        <v>0</v>
      </c>
      <c r="J1998" s="16"/>
    </row>
    <row r="1999" spans="1:10" ht="15.75" thickBot="1" x14ac:dyDescent="0.3">
      <c r="A1999" s="4">
        <v>1998</v>
      </c>
      <c r="B1999" s="5" t="s">
        <v>20</v>
      </c>
      <c r="C1999" s="5" t="s">
        <v>1727</v>
      </c>
      <c r="D1999" s="6">
        <v>44890</v>
      </c>
      <c r="E1999" s="20">
        <v>544</v>
      </c>
      <c r="F1999" s="7">
        <v>0</v>
      </c>
      <c r="J1999" s="16"/>
    </row>
    <row r="2000" spans="1:10" ht="15.75" thickBot="1" x14ac:dyDescent="0.3">
      <c r="A2000" s="8">
        <v>1999</v>
      </c>
      <c r="B2000" s="9" t="s">
        <v>1728</v>
      </c>
      <c r="C2000" s="9" t="s">
        <v>1729</v>
      </c>
      <c r="D2000" s="10">
        <v>44890</v>
      </c>
      <c r="E2000" s="21">
        <v>1000</v>
      </c>
      <c r="F2000" s="11">
        <v>0</v>
      </c>
      <c r="J2000" s="16"/>
    </row>
    <row r="2001" spans="1:10" ht="30.75" thickBot="1" x14ac:dyDescent="0.3">
      <c r="A2001" s="12">
        <v>2000</v>
      </c>
      <c r="B2001" s="13" t="s">
        <v>1730</v>
      </c>
      <c r="C2001" s="13" t="s">
        <v>1731</v>
      </c>
      <c r="D2001" s="14">
        <v>44890</v>
      </c>
      <c r="E2001" s="22">
        <v>2000</v>
      </c>
      <c r="F2001" s="15">
        <v>0</v>
      </c>
      <c r="J2001" s="16"/>
    </row>
    <row r="2002" spans="1:10" ht="30.75" thickBot="1" x14ac:dyDescent="0.3">
      <c r="A2002" s="12">
        <v>2001</v>
      </c>
      <c r="B2002" s="38" t="s">
        <v>16</v>
      </c>
      <c r="C2002" s="13" t="s">
        <v>1740</v>
      </c>
      <c r="D2002" s="39">
        <v>45073</v>
      </c>
      <c r="E2002" s="40">
        <v>3000</v>
      </c>
      <c r="F2002" s="41">
        <v>0</v>
      </c>
      <c r="J2002" s="16"/>
    </row>
    <row r="2003" spans="1:10" ht="30.75" thickBot="1" x14ac:dyDescent="0.3">
      <c r="A2003" s="12">
        <v>2002</v>
      </c>
      <c r="B2003" s="38" t="s">
        <v>1741</v>
      </c>
      <c r="C2003" s="13" t="s">
        <v>1742</v>
      </c>
      <c r="D2003" s="39">
        <v>45073</v>
      </c>
      <c r="E2003" s="40">
        <v>4000</v>
      </c>
      <c r="F2003" s="41">
        <v>1</v>
      </c>
      <c r="J2003" s="16"/>
    </row>
    <row r="2004" spans="1:10" ht="30.75" thickBot="1" x14ac:dyDescent="0.3">
      <c r="A2004" s="12">
        <v>2003</v>
      </c>
      <c r="B2004" s="38" t="s">
        <v>10</v>
      </c>
      <c r="C2004" s="13" t="s">
        <v>1743</v>
      </c>
      <c r="D2004" s="39">
        <v>45069</v>
      </c>
      <c r="E2004" s="40">
        <v>4000</v>
      </c>
      <c r="F2004" s="41">
        <v>0</v>
      </c>
      <c r="J2004" s="16"/>
    </row>
    <row r="2005" spans="1:10" ht="30.75" thickBot="1" x14ac:dyDescent="0.3">
      <c r="A2005" s="12">
        <v>2003</v>
      </c>
      <c r="B2005" s="38" t="s">
        <v>1741</v>
      </c>
      <c r="C2005" s="13" t="s">
        <v>1744</v>
      </c>
      <c r="D2005" s="39">
        <v>45006</v>
      </c>
      <c r="E2005" s="40">
        <v>4000</v>
      </c>
      <c r="F2005" s="41">
        <v>1</v>
      </c>
      <c r="J2005" s="16"/>
    </row>
    <row r="2006" spans="1:10" x14ac:dyDescent="0.25">
      <c r="E2006" s="18"/>
    </row>
    <row r="2007" spans="1:10" x14ac:dyDescent="0.25">
      <c r="E2007" s="18"/>
    </row>
    <row r="2008" spans="1:10" x14ac:dyDescent="0.25">
      <c r="E2008" s="18"/>
    </row>
    <row r="2009" spans="1:10" x14ac:dyDescent="0.25">
      <c r="E2009" s="18"/>
    </row>
    <row r="2010" spans="1:10" x14ac:dyDescent="0.25">
      <c r="E2010" s="18"/>
    </row>
    <row r="2011" spans="1:10" x14ac:dyDescent="0.25">
      <c r="E2011" s="18"/>
    </row>
    <row r="2012" spans="1:10" x14ac:dyDescent="0.25">
      <c r="E2012" s="18"/>
    </row>
    <row r="2013" spans="1:10" x14ac:dyDescent="0.25">
      <c r="E2013" s="18"/>
    </row>
    <row r="2014" spans="1:10" x14ac:dyDescent="0.25">
      <c r="E2014" s="18"/>
    </row>
    <row r="2015" spans="1:10" x14ac:dyDescent="0.25">
      <c r="E2015" s="18"/>
    </row>
    <row r="2016" spans="1:10" x14ac:dyDescent="0.25">
      <c r="E2016" s="18"/>
    </row>
    <row r="2017" spans="5:5" x14ac:dyDescent="0.25">
      <c r="E2017" s="18"/>
    </row>
    <row r="2018" spans="5:5" x14ac:dyDescent="0.25">
      <c r="E2018" s="18"/>
    </row>
    <row r="2019" spans="5:5" x14ac:dyDescent="0.25">
      <c r="E2019" s="18"/>
    </row>
    <row r="2020" spans="5:5" x14ac:dyDescent="0.25">
      <c r="E2020" s="18"/>
    </row>
    <row r="2021" spans="5:5" x14ac:dyDescent="0.25">
      <c r="E2021" s="18"/>
    </row>
    <row r="2022" spans="5:5" x14ac:dyDescent="0.25">
      <c r="E2022" s="18"/>
    </row>
    <row r="2023" spans="5:5" x14ac:dyDescent="0.25">
      <c r="E2023" s="18"/>
    </row>
    <row r="2024" spans="5:5" x14ac:dyDescent="0.25">
      <c r="E2024" s="18"/>
    </row>
    <row r="2025" spans="5:5" x14ac:dyDescent="0.25">
      <c r="E2025" s="18"/>
    </row>
    <row r="2026" spans="5:5" x14ac:dyDescent="0.25">
      <c r="E2026" s="18"/>
    </row>
    <row r="2027" spans="5:5" x14ac:dyDescent="0.25">
      <c r="E2027" s="18"/>
    </row>
    <row r="2028" spans="5:5" x14ac:dyDescent="0.25">
      <c r="E2028" s="18"/>
    </row>
    <row r="2029" spans="5:5" x14ac:dyDescent="0.25">
      <c r="E2029" s="18"/>
    </row>
    <row r="2030" spans="5:5" x14ac:dyDescent="0.25">
      <c r="E2030" s="18"/>
    </row>
    <row r="2031" spans="5:5" x14ac:dyDescent="0.25">
      <c r="E2031" s="18"/>
    </row>
    <row r="2032" spans="5:5" x14ac:dyDescent="0.25">
      <c r="E2032" s="18"/>
    </row>
    <row r="2033" spans="5:5" x14ac:dyDescent="0.25">
      <c r="E2033" s="18"/>
    </row>
    <row r="2034" spans="5:5" x14ac:dyDescent="0.25">
      <c r="E2034" s="18"/>
    </row>
    <row r="2035" spans="5:5" x14ac:dyDescent="0.25">
      <c r="E2035" s="18"/>
    </row>
    <row r="2036" spans="5:5" x14ac:dyDescent="0.25">
      <c r="E2036" s="18"/>
    </row>
    <row r="2037" spans="5:5" x14ac:dyDescent="0.25">
      <c r="E2037" s="18"/>
    </row>
    <row r="2038" spans="5:5" x14ac:dyDescent="0.25">
      <c r="E2038" s="18"/>
    </row>
    <row r="2039" spans="5:5" x14ac:dyDescent="0.25">
      <c r="E2039" s="18"/>
    </row>
    <row r="2040" spans="5:5" x14ac:dyDescent="0.25">
      <c r="E2040" s="18"/>
    </row>
    <row r="2041" spans="5:5" x14ac:dyDescent="0.25">
      <c r="E2041" s="18"/>
    </row>
    <row r="2042" spans="5:5" x14ac:dyDescent="0.25">
      <c r="E2042" s="18"/>
    </row>
    <row r="2043" spans="5:5" x14ac:dyDescent="0.25">
      <c r="E2043" s="18"/>
    </row>
    <row r="2044" spans="5:5" x14ac:dyDescent="0.25">
      <c r="E2044" s="18"/>
    </row>
    <row r="2045" spans="5:5" x14ac:dyDescent="0.25">
      <c r="E2045" s="18"/>
    </row>
    <row r="2046" spans="5:5" x14ac:dyDescent="0.25">
      <c r="E2046" s="18"/>
    </row>
    <row r="2047" spans="5:5" x14ac:dyDescent="0.25">
      <c r="E2047" s="18"/>
    </row>
    <row r="2048" spans="5:5" x14ac:dyDescent="0.25">
      <c r="E2048" s="18"/>
    </row>
    <row r="2049" spans="5:5" x14ac:dyDescent="0.25">
      <c r="E2049" s="18"/>
    </row>
    <row r="2050" spans="5:5" x14ac:dyDescent="0.25">
      <c r="E2050" s="18"/>
    </row>
    <row r="2051" spans="5:5" x14ac:dyDescent="0.25">
      <c r="E2051" s="18"/>
    </row>
    <row r="2052" spans="5:5" x14ac:dyDescent="0.25">
      <c r="E2052" s="18"/>
    </row>
    <row r="2053" spans="5:5" x14ac:dyDescent="0.25">
      <c r="E2053" s="18"/>
    </row>
    <row r="2054" spans="5:5" x14ac:dyDescent="0.25">
      <c r="E2054" s="18"/>
    </row>
    <row r="2055" spans="5:5" x14ac:dyDescent="0.25">
      <c r="E2055" s="18"/>
    </row>
    <row r="2056" spans="5:5" x14ac:dyDescent="0.25">
      <c r="E2056" s="18"/>
    </row>
  </sheetData>
  <mergeCells count="2">
    <mergeCell ref="J5:N5"/>
    <mergeCell ref="I2:N3"/>
  </mergeCells>
  <conditionalFormatting sqref="J5:N5">
    <cfRule type="dataBar" priority="1">
      <dataBar>
        <cfvo type="num" val="0"/>
        <cfvo type="num" val="1"/>
        <color rgb="FF63C384"/>
      </dataBar>
      <extLst>
        <ext xmlns:x14="http://schemas.microsoft.com/office/spreadsheetml/2009/9/main" uri="{B025F937-C7B1-47D3-B67F-A62EFF666E3E}">
          <x14:id>{A7D4A90C-0252-419E-8D91-FA4B81C67F9F}</x14:id>
        </ext>
      </extLs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dataBar" id="{A7D4A90C-0252-419E-8D91-FA4B81C67F9F}">
            <x14:dataBar minLength="0" maxLength="100" border="1" gradient="0" direction="leftToRight">
              <x14:cfvo type="num">
                <xm:f>0</xm:f>
              </x14:cfvo>
              <x14:cfvo type="num">
                <xm:f>1</xm:f>
              </x14:cfvo>
              <x14:borderColor rgb="FF00B050"/>
              <x14:negativeFillColor rgb="FFFF0000"/>
              <x14:axisColor rgb="FF000000"/>
            </x14:dataBar>
          </x14:cfRule>
          <xm:sqref>J5:N5</xm:sqref>
        </x14:conditionalFormatting>
        <x14:conditionalFormatting xmlns:xm="http://schemas.microsoft.com/office/excel/2006/main">
          <x14:cfRule type="iconSet" priority="2" id="{0130C83F-0B94-46F0-B478-DA2F93574DCE}">
            <x14:iconSet iconSet="3Symbols2" showValue="0" custom="1">
              <x14:cfvo type="percent">
                <xm:f>0</xm:f>
              </x14:cfvo>
              <x14:cfvo type="num">
                <xm:f>0</xm:f>
              </x14:cfvo>
              <x14:cfvo type="num">
                <xm:f>1</xm:f>
              </x14:cfvo>
              <x14:cfIcon iconSet="NoIcons" iconId="0"/>
              <x14:cfIcon iconSet="3Symbols" iconId="0"/>
              <x14:cfIcon iconSet="3Symbols" iconId="2"/>
            </x14:iconSet>
          </x14:cfRule>
          <xm:sqref>F2:F2005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555D-F424-42F4-B7AA-F95AFF1C0A7E}">
  <sheetPr codeName="Sheet3"/>
  <dimension ref="A1:D6"/>
  <sheetViews>
    <sheetView topLeftCell="C17" workbookViewId="0">
      <selection activeCell="E20" sqref="E20"/>
    </sheetView>
  </sheetViews>
  <sheetFormatPr defaultRowHeight="15" x14ac:dyDescent="0.25"/>
  <cols>
    <col min="1" max="1" width="21" bestFit="1" customWidth="1"/>
    <col min="2" max="2" width="44" bestFit="1" customWidth="1"/>
    <col min="3" max="3" width="40.7109375" bestFit="1" customWidth="1"/>
    <col min="4" max="4" width="20.28515625" bestFit="1" customWidth="1"/>
  </cols>
  <sheetData>
    <row r="1" spans="1:4" ht="33" x14ac:dyDescent="0.25">
      <c r="A1" s="47" t="s">
        <v>1745</v>
      </c>
      <c r="B1" s="46" t="str">
        <f t="shared" ref="B1:C1" si="0">A1</f>
        <v>ATANU ROY</v>
      </c>
      <c r="C1" s="49" t="str">
        <f t="shared" si="0"/>
        <v>ATANU ROY</v>
      </c>
      <c r="D1" s="50" t="str">
        <f>C1</f>
        <v>ATANU ROY</v>
      </c>
    </row>
    <row r="2" spans="1:4" ht="33" x14ac:dyDescent="0.25">
      <c r="A2" s="47">
        <v>9330714572</v>
      </c>
      <c r="B2" s="46">
        <f t="shared" ref="B2:D2" si="1">A2</f>
        <v>9330714572</v>
      </c>
      <c r="C2" s="49">
        <f t="shared" si="1"/>
        <v>9330714572</v>
      </c>
      <c r="D2" s="50">
        <f t="shared" si="1"/>
        <v>9330714572</v>
      </c>
    </row>
    <row r="3" spans="1:4" ht="33" x14ac:dyDescent="0.25">
      <c r="A3" s="48" t="s">
        <v>1746</v>
      </c>
      <c r="B3" s="46" t="str">
        <f t="shared" ref="B3:C3" si="2">A3</f>
        <v>atanur328@gmail.com</v>
      </c>
      <c r="C3" s="49" t="str">
        <f t="shared" si="2"/>
        <v>atanur328@gmail.com</v>
      </c>
      <c r="D3" s="50" t="str">
        <f>C3</f>
        <v>atanur328@gmail.com</v>
      </c>
    </row>
    <row r="4" spans="1:4" ht="33" x14ac:dyDescent="0.25">
      <c r="A4" s="47">
        <v>8420881854</v>
      </c>
      <c r="B4" s="46">
        <f t="shared" ref="B4:D4" si="3">A4</f>
        <v>8420881854</v>
      </c>
      <c r="C4" s="49">
        <f t="shared" si="3"/>
        <v>8420881854</v>
      </c>
      <c r="D4" s="50">
        <f t="shared" si="3"/>
        <v>8420881854</v>
      </c>
    </row>
    <row r="5" spans="1:4" ht="33" x14ac:dyDescent="0.25">
      <c r="A5" s="47">
        <v>9830405595</v>
      </c>
      <c r="B5" s="46">
        <f t="shared" ref="B5:D5" si="4">A5</f>
        <v>9830405595</v>
      </c>
      <c r="C5" s="49">
        <f t="shared" si="4"/>
        <v>9830405595</v>
      </c>
      <c r="D5" s="50">
        <f t="shared" si="4"/>
        <v>9830405595</v>
      </c>
    </row>
    <row r="6" spans="1:4" ht="33" x14ac:dyDescent="0.25">
      <c r="A6" s="47">
        <v>9163721423</v>
      </c>
      <c r="B6" s="46">
        <f t="shared" ref="B6:D6" si="5">A6</f>
        <v>9163721423</v>
      </c>
      <c r="C6" s="49">
        <f t="shared" si="5"/>
        <v>9163721423</v>
      </c>
      <c r="D6" s="50">
        <f t="shared" si="5"/>
        <v>9163721423</v>
      </c>
    </row>
  </sheetData>
  <hyperlinks>
    <hyperlink ref="A3" r:id="rId1" xr:uid="{FFA48380-50E6-4F10-85D9-6F916073092A}"/>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ECC41-DEFE-4A13-BDCB-AF5128B6A6A0}">
  <sheetPr codeName="Sheet4"/>
  <dimension ref="A1"/>
  <sheetViews>
    <sheetView workbookViewId="0">
      <selection activeCell="I10" sqref="I10"/>
    </sheetView>
  </sheetViews>
  <sheetFormatPr defaultRowHeight="15" x14ac:dyDescent="0.25"/>
  <cols>
    <col min="6" max="6" width="26.7109375" customWidth="1"/>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FDE91-61D4-466D-BD42-FEF56FF1C206}">
  <sheetPr codeName="Sheet5"/>
  <dimension ref="C3:F14"/>
  <sheetViews>
    <sheetView showGridLines="0" zoomScale="90" zoomScaleNormal="90" workbookViewId="0">
      <selection activeCell="D19" sqref="D19"/>
    </sheetView>
  </sheetViews>
  <sheetFormatPr defaultRowHeight="15" x14ac:dyDescent="0.25"/>
  <cols>
    <col min="1" max="1" width="5.7109375" customWidth="1"/>
    <col min="2" max="2" width="9.140625" customWidth="1"/>
    <col min="3" max="3" width="9.140625" hidden="1" customWidth="1"/>
    <col min="4" max="4" width="12.28515625" customWidth="1"/>
    <col min="5" max="5" width="13.42578125" bestFit="1" customWidth="1"/>
  </cols>
  <sheetData>
    <row r="3" spans="3:6" ht="15.75" thickBot="1" x14ac:dyDescent="0.3">
      <c r="D3" s="64" t="s">
        <v>1768</v>
      </c>
      <c r="E3" s="65" t="s">
        <v>1766</v>
      </c>
      <c r="F3" s="66" t="s">
        <v>1767</v>
      </c>
    </row>
    <row r="4" spans="3:6" ht="15.75" thickBot="1" x14ac:dyDescent="0.3">
      <c r="C4">
        <v>12538</v>
      </c>
      <c r="D4" s="67" t="b">
        <v>1</v>
      </c>
      <c r="E4" s="62" t="s">
        <v>1769</v>
      </c>
      <c r="F4" s="69">
        <f>IF($D4=TRUE,C4,"")</f>
        <v>12538</v>
      </c>
    </row>
    <row r="5" spans="3:6" ht="15.75" thickBot="1" x14ac:dyDescent="0.3">
      <c r="C5">
        <v>64643</v>
      </c>
      <c r="D5" s="67" t="b">
        <v>0</v>
      </c>
      <c r="E5" s="62" t="s">
        <v>1770</v>
      </c>
      <c r="F5" s="69" t="str">
        <f t="shared" ref="F5:F11" si="0">IF($D5=TRUE,C5,"")</f>
        <v/>
      </c>
    </row>
    <row r="6" spans="3:6" ht="15.75" thickBot="1" x14ac:dyDescent="0.3">
      <c r="C6">
        <v>87799</v>
      </c>
      <c r="D6" s="67" t="b">
        <v>1</v>
      </c>
      <c r="E6" s="62" t="s">
        <v>1771</v>
      </c>
      <c r="F6" s="69">
        <f t="shared" si="0"/>
        <v>87799</v>
      </c>
    </row>
    <row r="7" spans="3:6" ht="15.75" thickBot="1" x14ac:dyDescent="0.3">
      <c r="C7">
        <v>77902</v>
      </c>
      <c r="D7" s="67" t="b">
        <v>0</v>
      </c>
      <c r="E7" s="62" t="s">
        <v>1772</v>
      </c>
      <c r="F7" s="69" t="str">
        <f t="shared" si="0"/>
        <v/>
      </c>
    </row>
    <row r="8" spans="3:6" ht="15.75" thickBot="1" x14ac:dyDescent="0.3">
      <c r="C8">
        <v>98797</v>
      </c>
      <c r="D8" s="67" t="b">
        <v>1</v>
      </c>
      <c r="E8" s="62" t="s">
        <v>1773</v>
      </c>
      <c r="F8" s="69">
        <f>IF($D8=TRUE,C8,"")</f>
        <v>98797</v>
      </c>
    </row>
    <row r="9" spans="3:6" ht="15.75" thickBot="1" x14ac:dyDescent="0.3">
      <c r="C9">
        <v>79902</v>
      </c>
      <c r="D9" s="67" t="b">
        <v>0</v>
      </c>
      <c r="E9" s="62" t="s">
        <v>1774</v>
      </c>
      <c r="F9" s="69" t="str">
        <f t="shared" si="0"/>
        <v/>
      </c>
    </row>
    <row r="10" spans="3:6" ht="15.75" thickBot="1" x14ac:dyDescent="0.3">
      <c r="C10">
        <v>32222</v>
      </c>
      <c r="D10" s="67" t="b">
        <v>1</v>
      </c>
      <c r="E10" s="62" t="s">
        <v>1775</v>
      </c>
      <c r="F10" s="69">
        <f t="shared" si="0"/>
        <v>32222</v>
      </c>
    </row>
    <row r="11" spans="3:6" ht="15.75" thickBot="1" x14ac:dyDescent="0.3">
      <c r="C11">
        <v>89802</v>
      </c>
      <c r="D11" s="70" t="b">
        <v>0</v>
      </c>
      <c r="E11" s="63" t="s">
        <v>1776</v>
      </c>
      <c r="F11" s="71" t="str">
        <f t="shared" si="0"/>
        <v/>
      </c>
    </row>
    <row r="12" spans="3:6" ht="15.75" thickBot="1" x14ac:dyDescent="0.3">
      <c r="C12">
        <v>23000</v>
      </c>
      <c r="D12" s="70" t="b">
        <v>1</v>
      </c>
      <c r="E12" s="68" t="s">
        <v>1778</v>
      </c>
      <c r="F12" s="69">
        <f>IF($D12=TRUE,C12,"")</f>
        <v>23000</v>
      </c>
    </row>
    <row r="14" spans="3:6" x14ac:dyDescent="0.25">
      <c r="E14" s="72" t="s">
        <v>1777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Check Box 1">
              <controlPr defaultSize="0" autoFill="0" autoLine="0" autoPict="0">
                <anchor moveWithCells="1">
                  <from>
                    <xdr:col>3</xdr:col>
                    <xdr:colOff>209550</xdr:colOff>
                    <xdr:row>2</xdr:row>
                    <xdr:rowOff>171450</xdr:rowOff>
                  </from>
                  <to>
                    <xdr:col>3</xdr:col>
                    <xdr:colOff>495300</xdr:colOff>
                    <xdr:row>3</xdr:row>
                    <xdr:rowOff>190500</xdr:rowOff>
                  </to>
                </anchor>
              </controlPr>
            </control>
          </mc:Choice>
        </mc:AlternateContent>
        <mc:AlternateContent xmlns:mc="http://schemas.openxmlformats.org/markup-compatibility/2006">
          <mc:Choice Requires="x14">
            <control shapeId="4098" r:id="rId4" name="Check Box 2">
              <controlPr defaultSize="0" autoFill="0" autoLine="0" autoPict="0">
                <anchor moveWithCells="1">
                  <from>
                    <xdr:col>3</xdr:col>
                    <xdr:colOff>209550</xdr:colOff>
                    <xdr:row>3</xdr:row>
                    <xdr:rowOff>171450</xdr:rowOff>
                  </from>
                  <to>
                    <xdr:col>3</xdr:col>
                    <xdr:colOff>495300</xdr:colOff>
                    <xdr:row>4</xdr:row>
                    <xdr:rowOff>190500</xdr:rowOff>
                  </to>
                </anchor>
              </controlPr>
            </control>
          </mc:Choice>
        </mc:AlternateContent>
        <mc:AlternateContent xmlns:mc="http://schemas.openxmlformats.org/markup-compatibility/2006">
          <mc:Choice Requires="x14">
            <control shapeId="4099" r:id="rId5" name="Check Box 3">
              <controlPr defaultSize="0" autoFill="0" autoLine="0" autoPict="0">
                <anchor moveWithCells="1">
                  <from>
                    <xdr:col>3</xdr:col>
                    <xdr:colOff>209550</xdr:colOff>
                    <xdr:row>4</xdr:row>
                    <xdr:rowOff>171450</xdr:rowOff>
                  </from>
                  <to>
                    <xdr:col>3</xdr:col>
                    <xdr:colOff>495300</xdr:colOff>
                    <xdr:row>5</xdr:row>
                    <xdr:rowOff>190500</xdr:rowOff>
                  </to>
                </anchor>
              </controlPr>
            </control>
          </mc:Choice>
        </mc:AlternateContent>
        <mc:AlternateContent xmlns:mc="http://schemas.openxmlformats.org/markup-compatibility/2006">
          <mc:Choice Requires="x14">
            <control shapeId="4100" r:id="rId6" name="Check Box 4">
              <controlPr defaultSize="0" autoFill="0" autoLine="0" autoPict="0">
                <anchor moveWithCells="1">
                  <from>
                    <xdr:col>3</xdr:col>
                    <xdr:colOff>209550</xdr:colOff>
                    <xdr:row>5</xdr:row>
                    <xdr:rowOff>171450</xdr:rowOff>
                  </from>
                  <to>
                    <xdr:col>3</xdr:col>
                    <xdr:colOff>495300</xdr:colOff>
                    <xdr:row>6</xdr:row>
                    <xdr:rowOff>190500</xdr:rowOff>
                  </to>
                </anchor>
              </controlPr>
            </control>
          </mc:Choice>
        </mc:AlternateContent>
        <mc:AlternateContent xmlns:mc="http://schemas.openxmlformats.org/markup-compatibility/2006">
          <mc:Choice Requires="x14">
            <control shapeId="4101" r:id="rId7" name="Check Box 5">
              <controlPr defaultSize="0" autoFill="0" autoLine="0" autoPict="0">
                <anchor moveWithCells="1">
                  <from>
                    <xdr:col>3</xdr:col>
                    <xdr:colOff>209550</xdr:colOff>
                    <xdr:row>6</xdr:row>
                    <xdr:rowOff>171450</xdr:rowOff>
                  </from>
                  <to>
                    <xdr:col>3</xdr:col>
                    <xdr:colOff>495300</xdr:colOff>
                    <xdr:row>7</xdr:row>
                    <xdr:rowOff>190500</xdr:rowOff>
                  </to>
                </anchor>
              </controlPr>
            </control>
          </mc:Choice>
        </mc:AlternateContent>
        <mc:AlternateContent xmlns:mc="http://schemas.openxmlformats.org/markup-compatibility/2006">
          <mc:Choice Requires="x14">
            <control shapeId="4102" r:id="rId8" name="Check Box 6">
              <controlPr defaultSize="0" autoFill="0" autoLine="0" autoPict="0">
                <anchor moveWithCells="1">
                  <from>
                    <xdr:col>3</xdr:col>
                    <xdr:colOff>209550</xdr:colOff>
                    <xdr:row>7</xdr:row>
                    <xdr:rowOff>171450</xdr:rowOff>
                  </from>
                  <to>
                    <xdr:col>3</xdr:col>
                    <xdr:colOff>495300</xdr:colOff>
                    <xdr:row>8</xdr:row>
                    <xdr:rowOff>190500</xdr:rowOff>
                  </to>
                </anchor>
              </controlPr>
            </control>
          </mc:Choice>
        </mc:AlternateContent>
        <mc:AlternateContent xmlns:mc="http://schemas.openxmlformats.org/markup-compatibility/2006">
          <mc:Choice Requires="x14">
            <control shapeId="4103" r:id="rId9" name="Check Box 7">
              <controlPr defaultSize="0" autoFill="0" autoLine="0" autoPict="0">
                <anchor moveWithCells="1">
                  <from>
                    <xdr:col>3</xdr:col>
                    <xdr:colOff>209550</xdr:colOff>
                    <xdr:row>8</xdr:row>
                    <xdr:rowOff>171450</xdr:rowOff>
                  </from>
                  <to>
                    <xdr:col>3</xdr:col>
                    <xdr:colOff>495300</xdr:colOff>
                    <xdr:row>9</xdr:row>
                    <xdr:rowOff>190500</xdr:rowOff>
                  </to>
                </anchor>
              </controlPr>
            </control>
          </mc:Choice>
        </mc:AlternateContent>
        <mc:AlternateContent xmlns:mc="http://schemas.openxmlformats.org/markup-compatibility/2006">
          <mc:Choice Requires="x14">
            <control shapeId="4104" r:id="rId10" name="Check Box 8">
              <controlPr defaultSize="0" autoFill="0" autoLine="0" autoPict="0">
                <anchor moveWithCells="1">
                  <from>
                    <xdr:col>3</xdr:col>
                    <xdr:colOff>209550</xdr:colOff>
                    <xdr:row>9</xdr:row>
                    <xdr:rowOff>171450</xdr:rowOff>
                  </from>
                  <to>
                    <xdr:col>3</xdr:col>
                    <xdr:colOff>495300</xdr:colOff>
                    <xdr:row>10</xdr:row>
                    <xdr:rowOff>190500</xdr:rowOff>
                  </to>
                </anchor>
              </controlPr>
            </control>
          </mc:Choice>
        </mc:AlternateContent>
        <mc:AlternateContent xmlns:mc="http://schemas.openxmlformats.org/markup-compatibility/2006">
          <mc:Choice Requires="x14">
            <control shapeId="4105" r:id="rId11" name="Check Box 9">
              <controlPr defaultSize="0" autoFill="0" autoLine="0" autoPict="0">
                <anchor moveWithCells="1">
                  <from>
                    <xdr:col>3</xdr:col>
                    <xdr:colOff>209550</xdr:colOff>
                    <xdr:row>10</xdr:row>
                    <xdr:rowOff>171450</xdr:rowOff>
                  </from>
                  <to>
                    <xdr:col>3</xdr:col>
                    <xdr:colOff>495300</xdr:colOff>
                    <xdr:row>11</xdr:row>
                    <xdr:rowOff>190500</xdr:rowOff>
                  </to>
                </anchor>
              </controlPr>
            </control>
          </mc:Choice>
        </mc:AlternateContent>
      </controls>
    </mc:Choice>
  </mc:AlternateContent>
  <tableParts count="1">
    <tablePart r:id="rId1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DA287-9EA6-48A3-BCAE-F721C484F5CA}">
  <sheetPr codeName="Sheet6"/>
  <dimension ref="A1:G16"/>
  <sheetViews>
    <sheetView workbookViewId="0">
      <selection activeCell="I5" sqref="I5"/>
    </sheetView>
  </sheetViews>
  <sheetFormatPr defaultRowHeight="15" x14ac:dyDescent="0.25"/>
  <cols>
    <col min="1" max="7" width="12.7109375" customWidth="1"/>
  </cols>
  <sheetData>
    <row r="1" spans="1:7" ht="30.75" thickBot="1" x14ac:dyDescent="0.3">
      <c r="A1" s="55" t="s">
        <v>1747</v>
      </c>
      <c r="B1" s="55" t="s">
        <v>1748</v>
      </c>
      <c r="C1" s="55" t="s">
        <v>1749</v>
      </c>
      <c r="D1" s="55" t="s">
        <v>1750</v>
      </c>
      <c r="E1" s="55" t="s">
        <v>1751</v>
      </c>
      <c r="F1" s="55" t="s">
        <v>1752</v>
      </c>
      <c r="G1" s="55" t="s">
        <v>5</v>
      </c>
    </row>
    <row r="2" spans="1:7" ht="15.75" thickBot="1" x14ac:dyDescent="0.3">
      <c r="A2" s="51">
        <v>1</v>
      </c>
      <c r="B2" s="51" t="s">
        <v>1753</v>
      </c>
      <c r="C2" s="52">
        <v>45047</v>
      </c>
      <c r="D2" s="53">
        <v>1</v>
      </c>
      <c r="E2" s="52">
        <f>EDATE(Table3[[#This Row],[Start Date]],Table3[[#This Row],[Validity
(In months)]])-1</f>
        <v>45077</v>
      </c>
      <c r="F2" s="54">
        <f ca="1">Table3[[#This Row],[Expires on]]-TODAY()</f>
        <v>-121</v>
      </c>
      <c r="G2" s="51" t="str">
        <f ca="1">_xlfn.IFS(Table3[[#This Row],[Days Left]]&lt;0,"EXPIRED",Table3[[#This Row],[Days Left]]&lt;=7,"Expiring soon",Table3[[#This Row],[Days Left]]&gt;7,"")</f>
        <v>EXPIRED</v>
      </c>
    </row>
    <row r="3" spans="1:7" ht="30.75" thickBot="1" x14ac:dyDescent="0.3">
      <c r="A3" s="51">
        <v>2</v>
      </c>
      <c r="B3" s="51" t="s">
        <v>1754</v>
      </c>
      <c r="C3" s="52">
        <v>44880</v>
      </c>
      <c r="D3" s="53">
        <v>9</v>
      </c>
      <c r="E3" s="52">
        <f>EDATE(Table3[[#This Row],[Start Date]],Table3[[#This Row],[Validity
(In months)]])-1</f>
        <v>45152</v>
      </c>
      <c r="F3" s="54">
        <f ca="1">Table3[[#This Row],[Expires on]]-TODAY()</f>
        <v>-46</v>
      </c>
      <c r="G3" s="51" t="str">
        <f ca="1">_xlfn.IFS(Table3[[#This Row],[Days Left]]&lt;0,"EXPIRED",Table3[[#This Row],[Days Left]]&lt;=7,"Expiring soon",Table3[[#This Row],[Days Left]]&gt;7,"")</f>
        <v>EXPIRED</v>
      </c>
    </row>
    <row r="4" spans="1:7" ht="30.75" thickBot="1" x14ac:dyDescent="0.3">
      <c r="A4" s="51">
        <v>3</v>
      </c>
      <c r="B4" s="51" t="s">
        <v>1755</v>
      </c>
      <c r="C4" s="52">
        <v>44696</v>
      </c>
      <c r="D4" s="53">
        <v>12</v>
      </c>
      <c r="E4" s="52">
        <f>EDATE(Table3[[#This Row],[Start Date]],Table3[[#This Row],[Validity
(In months)]])-1</f>
        <v>45060</v>
      </c>
      <c r="F4" s="54">
        <f ca="1">Table3[[#This Row],[Expires on]]-TODAY()</f>
        <v>-138</v>
      </c>
      <c r="G4" s="51" t="str">
        <f ca="1">_xlfn.IFS(Table3[[#This Row],[Days Left]]&lt;0,"EXPIRED",Table3[[#This Row],[Days Left]]&lt;=7,"Expiring soon",Table3[[#This Row],[Days Left]]&gt;7,"")</f>
        <v>EXPIRED</v>
      </c>
    </row>
    <row r="5" spans="1:7" ht="30.75" thickBot="1" x14ac:dyDescent="0.3">
      <c r="A5" s="51">
        <v>4</v>
      </c>
      <c r="B5" s="51" t="s">
        <v>1756</v>
      </c>
      <c r="C5" s="52">
        <v>44713</v>
      </c>
      <c r="D5" s="53">
        <v>12</v>
      </c>
      <c r="E5" s="52">
        <f>EDATE(Table3[[#This Row],[Start Date]],Table3[[#This Row],[Validity
(In months)]])-1</f>
        <v>45077</v>
      </c>
      <c r="F5" s="54">
        <f ca="1">Table3[[#This Row],[Expires on]]-TODAY()</f>
        <v>-121</v>
      </c>
      <c r="G5" s="51" t="str">
        <f ca="1">_xlfn.IFS(Table3[[#This Row],[Days Left]]&lt;0,"EXPIRED",Table3[[#This Row],[Days Left]]&lt;=7,"Expiring soon",Table3[[#This Row],[Days Left]]&gt;7,"")</f>
        <v>EXPIRED</v>
      </c>
    </row>
    <row r="6" spans="1:7" ht="30.75" thickBot="1" x14ac:dyDescent="0.3">
      <c r="A6" s="51">
        <v>5</v>
      </c>
      <c r="B6" s="51" t="s">
        <v>1757</v>
      </c>
      <c r="C6" s="52">
        <v>44779</v>
      </c>
      <c r="D6" s="53">
        <v>12</v>
      </c>
      <c r="E6" s="52">
        <f>EDATE(Table3[[#This Row],[Start Date]],Table3[[#This Row],[Validity
(In months)]])-1</f>
        <v>45143</v>
      </c>
      <c r="F6" s="54">
        <f ca="1">Table3[[#This Row],[Expires on]]-TODAY()</f>
        <v>-55</v>
      </c>
      <c r="G6" s="51" t="str">
        <f ca="1">_xlfn.IFS(Table3[[#This Row],[Days Left]]&lt;0,"EXPIRED",Table3[[#This Row],[Days Left]]&lt;=7,"Expiring soon",Table3[[#This Row],[Days Left]]&gt;7,"")</f>
        <v>EXPIRED</v>
      </c>
    </row>
    <row r="7" spans="1:7" ht="45.75" thickBot="1" x14ac:dyDescent="0.3">
      <c r="A7" s="51">
        <v>6</v>
      </c>
      <c r="B7" s="51" t="s">
        <v>1758</v>
      </c>
      <c r="C7" s="52">
        <v>44897</v>
      </c>
      <c r="D7" s="53">
        <v>12</v>
      </c>
      <c r="E7" s="52">
        <f>EDATE(Table3[[#This Row],[Start Date]],Table3[[#This Row],[Validity
(In months)]])-1</f>
        <v>45261</v>
      </c>
      <c r="F7" s="54">
        <f ca="1">Table3[[#This Row],[Expires on]]-TODAY()</f>
        <v>63</v>
      </c>
      <c r="G7" s="51" t="str">
        <f ca="1">_xlfn.IFS(Table3[[#This Row],[Days Left]]&lt;0,"EXPIRED",Table3[[#This Row],[Days Left]]&lt;=7,"Expiring soon",Table3[[#This Row],[Days Left]]&gt;7,"")</f>
        <v/>
      </c>
    </row>
    <row r="8" spans="1:7" ht="30.75" thickBot="1" x14ac:dyDescent="0.3">
      <c r="A8" s="51">
        <v>7</v>
      </c>
      <c r="B8" s="51" t="s">
        <v>1759</v>
      </c>
      <c r="C8" s="52">
        <v>44756</v>
      </c>
      <c r="D8" s="53">
        <v>11</v>
      </c>
      <c r="E8" s="52">
        <f>EDATE(Table3[[#This Row],[Start Date]],Table3[[#This Row],[Validity
(In months)]])-1</f>
        <v>45090</v>
      </c>
      <c r="F8" s="54">
        <f ca="1">Table3[[#This Row],[Expires on]]-TODAY()</f>
        <v>-108</v>
      </c>
      <c r="G8" s="51" t="str">
        <f ca="1">_xlfn.IFS(Table3[[#This Row],[Days Left]]&lt;0,"EXPIRED",Table3[[#This Row],[Days Left]]&lt;=7,"Expiring soon",Table3[[#This Row],[Days Left]]&gt;7,"")</f>
        <v>EXPIRED</v>
      </c>
    </row>
    <row r="9" spans="1:7" ht="30.75" thickBot="1" x14ac:dyDescent="0.3">
      <c r="A9" s="51">
        <v>8</v>
      </c>
      <c r="B9" s="51" t="s">
        <v>1760</v>
      </c>
      <c r="C9" s="52">
        <v>44985</v>
      </c>
      <c r="D9" s="53">
        <v>3</v>
      </c>
      <c r="E9" s="52">
        <f>EDATE(Table3[[#This Row],[Start Date]],Table3[[#This Row],[Validity
(In months)]])-1</f>
        <v>45073</v>
      </c>
      <c r="F9" s="54">
        <f ca="1">Table3[[#This Row],[Expires on]]-TODAY()</f>
        <v>-125</v>
      </c>
      <c r="G9" s="51" t="str">
        <f ca="1">_xlfn.IFS(Table3[[#This Row],[Days Left]]&lt;0,"EXPIRED",Table3[[#This Row],[Days Left]]&lt;=7,"Expiring soon",Table3[[#This Row],[Days Left]]&gt;7,"")</f>
        <v>EXPIRED</v>
      </c>
    </row>
    <row r="10" spans="1:7" ht="15.75" thickBot="1" x14ac:dyDescent="0.3">
      <c r="A10" s="51">
        <v>9</v>
      </c>
      <c r="B10" s="51" t="s">
        <v>1761</v>
      </c>
      <c r="C10" s="52">
        <v>44715</v>
      </c>
      <c r="D10" s="53">
        <v>12</v>
      </c>
      <c r="E10" s="52">
        <f>EDATE(Table3[[#This Row],[Start Date]],Table3[[#This Row],[Validity
(In months)]])-1</f>
        <v>45079</v>
      </c>
      <c r="F10" s="54">
        <f ca="1">Table3[[#This Row],[Expires on]]-TODAY()</f>
        <v>-119</v>
      </c>
      <c r="G10" s="51" t="str">
        <f ca="1">_xlfn.IFS(Table3[[#This Row],[Days Left]]&lt;0,"EXPIRED",Table3[[#This Row],[Days Left]]&lt;=7,"Expiring soon",Table3[[#This Row],[Days Left]]&gt;7,"")</f>
        <v>EXPIRED</v>
      </c>
    </row>
    <row r="11" spans="1:7" ht="30.75" thickBot="1" x14ac:dyDescent="0.3">
      <c r="A11" s="51">
        <v>10</v>
      </c>
      <c r="B11" s="51" t="s">
        <v>1762</v>
      </c>
      <c r="C11" s="52">
        <v>44562</v>
      </c>
      <c r="D11" s="53">
        <v>24</v>
      </c>
      <c r="E11" s="52">
        <f>EDATE(Table3[[#This Row],[Start Date]],Table3[[#This Row],[Validity
(In months)]])-1</f>
        <v>45291</v>
      </c>
      <c r="F11" s="54">
        <f ca="1">Table3[[#This Row],[Expires on]]-TODAY()</f>
        <v>93</v>
      </c>
      <c r="G11" s="51" t="str">
        <f ca="1">_xlfn.IFS(Table3[[#This Row],[Days Left]]&lt;0,"EXPIRED",Table3[[#This Row],[Days Left]]&lt;=7,"Expiring soon",Table3[[#This Row],[Days Left]]&gt;7,"")</f>
        <v/>
      </c>
    </row>
    <row r="12" spans="1:7" ht="30.75" thickBot="1" x14ac:dyDescent="0.3">
      <c r="A12" s="51">
        <v>11</v>
      </c>
      <c r="B12" s="51" t="s">
        <v>1763</v>
      </c>
      <c r="C12" s="52">
        <v>44708</v>
      </c>
      <c r="D12" s="53">
        <v>12</v>
      </c>
      <c r="E12" s="52">
        <f>EDATE(Table3[[#This Row],[Start Date]],Table3[[#This Row],[Validity
(In months)]])-1</f>
        <v>45072</v>
      </c>
      <c r="F12" s="54">
        <f ca="1">Table3[[#This Row],[Expires on]]-TODAY()</f>
        <v>-126</v>
      </c>
      <c r="G12" s="51" t="str">
        <f ca="1">_xlfn.IFS(Table3[[#This Row],[Days Left]]&lt;0,"EXPIRED",Table3[[#This Row],[Days Left]]&lt;=7,"Expiring soon",Table3[[#This Row],[Days Left]]&gt;7,"")</f>
        <v>EXPIRED</v>
      </c>
    </row>
    <row r="13" spans="1:7" ht="30.75" thickBot="1" x14ac:dyDescent="0.3">
      <c r="A13" s="51">
        <v>12</v>
      </c>
      <c r="B13" s="51" t="s">
        <v>1764</v>
      </c>
      <c r="C13" s="52">
        <v>45061</v>
      </c>
      <c r="D13" s="53">
        <v>1</v>
      </c>
      <c r="E13" s="52">
        <f>EDATE(Table3[[#This Row],[Start Date]],Table3[[#This Row],[Validity
(In months)]])-1</f>
        <v>45091</v>
      </c>
      <c r="F13" s="54">
        <f ca="1">Table3[[#This Row],[Expires on]]-TODAY()</f>
        <v>-107</v>
      </c>
      <c r="G13" s="51" t="str">
        <f ca="1">_xlfn.IFS(Table3[[#This Row],[Days Left]]&lt;0,"EXPIRED",Table3[[#This Row],[Days Left]]&lt;=7,"Expiring soon",Table3[[#This Row],[Days Left]]&gt;7,"")</f>
        <v>EXPIRED</v>
      </c>
    </row>
    <row r="14" spans="1:7" ht="30.75" thickBot="1" x14ac:dyDescent="0.3">
      <c r="A14" s="51">
        <v>13</v>
      </c>
      <c r="B14" s="51" t="s">
        <v>1754</v>
      </c>
      <c r="C14" s="52">
        <v>44792</v>
      </c>
      <c r="D14" s="53">
        <v>10</v>
      </c>
      <c r="E14" s="52">
        <f>EDATE(Table3[[#This Row],[Start Date]],Table3[[#This Row],[Validity
(In months)]])-1</f>
        <v>45095</v>
      </c>
      <c r="F14" s="54">
        <f ca="1">Table3[[#This Row],[Expires on]]-TODAY()</f>
        <v>-103</v>
      </c>
      <c r="G14" s="61" t="str">
        <f ca="1">_xlfn.IFS(Table3[[#This Row],[Days Left]]&lt;0,"EXPIRED",Table3[[#This Row],[Days Left]]&lt;=7,"Expiring soon",Table3[[#This Row],[Days Left]]&gt;7,"")</f>
        <v>EXPIRED</v>
      </c>
    </row>
    <row r="15" spans="1:7" ht="30.75" thickBot="1" x14ac:dyDescent="0.3">
      <c r="A15" s="51">
        <v>14</v>
      </c>
      <c r="B15" s="51" t="s">
        <v>1757</v>
      </c>
      <c r="C15" s="52">
        <v>44826</v>
      </c>
      <c r="D15" s="53">
        <v>8</v>
      </c>
      <c r="E15" s="52">
        <f>EDATE(Table3[[#This Row],[Start Date]],Table3[[#This Row],[Validity
(In months)]])-1</f>
        <v>45067</v>
      </c>
      <c r="F15" s="54">
        <f ca="1">Table3[[#This Row],[Expires on]]-TODAY()</f>
        <v>-131</v>
      </c>
      <c r="G15" s="61" t="str">
        <f ca="1">_xlfn.IFS(Table3[[#This Row],[Days Left]]&lt;0,"EXPIRED",Table3[[#This Row],[Days Left]]&lt;=7,"Expiring soon",Table3[[#This Row],[Days Left]]&gt;7,"")</f>
        <v>EXPIRED</v>
      </c>
    </row>
    <row r="16" spans="1:7" ht="30.75" thickBot="1" x14ac:dyDescent="0.3">
      <c r="A16" s="51">
        <v>14</v>
      </c>
      <c r="B16" s="56" t="s">
        <v>1765</v>
      </c>
      <c r="C16" s="57">
        <v>44825</v>
      </c>
      <c r="D16" s="58">
        <v>12</v>
      </c>
      <c r="E16" s="57">
        <f>EDATE(Table3[[#This Row],[Start Date]],Table3[[#This Row],[Validity
(In months)]])-1</f>
        <v>45189</v>
      </c>
      <c r="F16" s="59">
        <f ca="1">Table3[[#This Row],[Expires on]]-TODAY()</f>
        <v>-9</v>
      </c>
      <c r="G16" s="60" t="str">
        <f ca="1">_xlfn.IFS(Table3[[#This Row],[Days Left]]&lt;0,"EXPIRED",Table3[[#This Row],[Days Left]]&lt;=7,"Expiring soon",Table3[[#This Row],[Days Left]]&gt;7,"")</f>
        <v>EXPIRED</v>
      </c>
    </row>
  </sheetData>
  <conditionalFormatting sqref="D2:D16">
    <cfRule type="expression" dxfId="161" priority="3">
      <formula>$D2=1</formula>
    </cfRule>
  </conditionalFormatting>
  <conditionalFormatting sqref="A2:G16">
    <cfRule type="expression" dxfId="160" priority="1">
      <formula>$G2="Expiring soon"</formula>
    </cfRule>
    <cfRule type="expression" dxfId="159" priority="2">
      <formula>$G2="EXPIRED"</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29D0E-9CCB-4652-8EF8-8FF654BD264E}">
  <sheetPr codeName="Sheet7"/>
  <dimension ref="B1:G19"/>
  <sheetViews>
    <sheetView workbookViewId="0">
      <selection activeCell="B2" sqref="B2:E3"/>
    </sheetView>
  </sheetViews>
  <sheetFormatPr defaultRowHeight="15" x14ac:dyDescent="0.25"/>
  <cols>
    <col min="2" max="2" width="19.85546875" bestFit="1" customWidth="1"/>
    <col min="3" max="3" width="16.42578125" bestFit="1" customWidth="1"/>
    <col min="4" max="4" width="10.140625" bestFit="1" customWidth="1"/>
    <col min="5" max="5" width="10.7109375" bestFit="1" customWidth="1"/>
    <col min="6" max="6" width="12.7109375" customWidth="1"/>
  </cols>
  <sheetData>
    <row r="1" spans="2:7" ht="15.75" thickBot="1" x14ac:dyDescent="0.3"/>
    <row r="2" spans="2:7" ht="15.75" thickBot="1" x14ac:dyDescent="0.3">
      <c r="B2" s="77" t="s">
        <v>1792</v>
      </c>
      <c r="C2" s="77" t="s">
        <v>1793</v>
      </c>
      <c r="D2" s="77" t="s">
        <v>1794</v>
      </c>
      <c r="E2" s="77" t="s">
        <v>1795</v>
      </c>
    </row>
    <row r="3" spans="2:7" ht="15.75" thickBot="1" x14ac:dyDescent="0.3">
      <c r="B3" s="78" t="s">
        <v>1796</v>
      </c>
      <c r="C3" s="79">
        <f>SUM(Table5[Task Duration])</f>
        <v>28</v>
      </c>
      <c r="D3" s="80">
        <f>MIN(Table5[Start Date])</f>
        <v>45047</v>
      </c>
      <c r="E3" s="80">
        <f>MAX(Table5[End Date])</f>
        <v>45074</v>
      </c>
    </row>
    <row r="5" spans="2:7" ht="30.75" thickBot="1" x14ac:dyDescent="0.3">
      <c r="B5" s="73" t="s">
        <v>0</v>
      </c>
      <c r="C5" s="73" t="s">
        <v>1779</v>
      </c>
      <c r="D5" s="73" t="s">
        <v>1780</v>
      </c>
      <c r="E5" s="73" t="s">
        <v>1749</v>
      </c>
      <c r="F5" s="74" t="s">
        <v>1781</v>
      </c>
      <c r="G5" s="84" t="s">
        <v>1797</v>
      </c>
    </row>
    <row r="6" spans="2:7" ht="15.75" thickBot="1" x14ac:dyDescent="0.3">
      <c r="B6" s="75">
        <v>1</v>
      </c>
      <c r="C6" s="75" t="s">
        <v>1782</v>
      </c>
      <c r="D6" s="79">
        <v>2</v>
      </c>
      <c r="E6" s="81">
        <v>45047</v>
      </c>
      <c r="F6" s="82">
        <f>Table5[[#This Row],[Start Date]]+Table5[[#This Row],[Task Duration]]-1</f>
        <v>45048</v>
      </c>
      <c r="G6" s="83"/>
    </row>
    <row r="7" spans="2:7" ht="15.75" thickBot="1" x14ac:dyDescent="0.3">
      <c r="B7" s="75">
        <v>2</v>
      </c>
      <c r="C7" s="75" t="s">
        <v>1783</v>
      </c>
      <c r="D7" s="79">
        <v>1</v>
      </c>
      <c r="E7" s="81">
        <f>F6+1</f>
        <v>45049</v>
      </c>
      <c r="F7" s="82">
        <f>Table5[[#This Row],[Start Date]]+Table5[[#This Row],[Task Duration]]-1</f>
        <v>45049</v>
      </c>
      <c r="G7" s="83"/>
    </row>
    <row r="8" spans="2:7" ht="45.75" thickBot="1" x14ac:dyDescent="0.3">
      <c r="B8" s="75">
        <v>3</v>
      </c>
      <c r="C8" s="75" t="s">
        <v>1784</v>
      </c>
      <c r="D8" s="79">
        <v>2</v>
      </c>
      <c r="E8" s="81">
        <f t="shared" ref="E8:E15" si="0">F7+1</f>
        <v>45050</v>
      </c>
      <c r="F8" s="82">
        <f>Table5[[#This Row],[Start Date]]+Table5[[#This Row],[Task Duration]]-1</f>
        <v>45051</v>
      </c>
      <c r="G8" s="83"/>
    </row>
    <row r="9" spans="2:7" ht="30.75" thickBot="1" x14ac:dyDescent="0.3">
      <c r="B9" s="75">
        <v>4</v>
      </c>
      <c r="C9" s="75" t="s">
        <v>1785</v>
      </c>
      <c r="D9" s="79">
        <v>4</v>
      </c>
      <c r="E9" s="81">
        <f t="shared" si="0"/>
        <v>45052</v>
      </c>
      <c r="F9" s="82">
        <f>Table5[[#This Row],[Start Date]]+Table5[[#This Row],[Task Duration]]-1</f>
        <v>45055</v>
      </c>
      <c r="G9" s="83"/>
    </row>
    <row r="10" spans="2:7" ht="30.75" thickBot="1" x14ac:dyDescent="0.3">
      <c r="B10" s="75">
        <v>5</v>
      </c>
      <c r="C10" s="75" t="s">
        <v>1786</v>
      </c>
      <c r="D10" s="79">
        <v>3</v>
      </c>
      <c r="E10" s="81">
        <f t="shared" si="0"/>
        <v>45056</v>
      </c>
      <c r="F10" s="82">
        <f>Table5[[#This Row],[Start Date]]+Table5[[#This Row],[Task Duration]]-1</f>
        <v>45058</v>
      </c>
      <c r="G10" s="83"/>
    </row>
    <row r="11" spans="2:7" ht="30.75" thickBot="1" x14ac:dyDescent="0.3">
      <c r="B11" s="75">
        <v>6</v>
      </c>
      <c r="C11" s="75" t="s">
        <v>1787</v>
      </c>
      <c r="D11" s="79">
        <v>3</v>
      </c>
      <c r="E11" s="81">
        <f t="shared" si="0"/>
        <v>45059</v>
      </c>
      <c r="F11" s="82">
        <f>Table5[[#This Row],[Start Date]]+Table5[[#This Row],[Task Duration]]-1</f>
        <v>45061</v>
      </c>
      <c r="G11" s="83"/>
    </row>
    <row r="12" spans="2:7" ht="30.75" thickBot="1" x14ac:dyDescent="0.3">
      <c r="B12" s="75">
        <v>7</v>
      </c>
      <c r="C12" s="75" t="s">
        <v>1788</v>
      </c>
      <c r="D12" s="79">
        <v>3</v>
      </c>
      <c r="E12" s="81">
        <f t="shared" si="0"/>
        <v>45062</v>
      </c>
      <c r="F12" s="82">
        <f>Table5[[#This Row],[Start Date]]+Table5[[#This Row],[Task Duration]]-1</f>
        <v>45064</v>
      </c>
      <c r="G12" s="83"/>
    </row>
    <row r="13" spans="2:7" ht="30.75" thickBot="1" x14ac:dyDescent="0.3">
      <c r="B13" s="75">
        <v>8</v>
      </c>
      <c r="C13" s="75" t="s">
        <v>1789</v>
      </c>
      <c r="D13" s="79">
        <v>3</v>
      </c>
      <c r="E13" s="81">
        <f t="shared" si="0"/>
        <v>45065</v>
      </c>
      <c r="F13" s="82">
        <f>Table5[[#This Row],[Start Date]]+Table5[[#This Row],[Task Duration]]-1</f>
        <v>45067</v>
      </c>
      <c r="G13" s="83"/>
    </row>
    <row r="14" spans="2:7" ht="30.75" thickBot="1" x14ac:dyDescent="0.3">
      <c r="B14" s="75">
        <v>9</v>
      </c>
      <c r="C14" s="75" t="s">
        <v>1790</v>
      </c>
      <c r="D14" s="79">
        <v>4</v>
      </c>
      <c r="E14" s="81">
        <f t="shared" si="0"/>
        <v>45068</v>
      </c>
      <c r="F14" s="82">
        <f>Table5[[#This Row],[Start Date]]+Table5[[#This Row],[Task Duration]]-1</f>
        <v>45071</v>
      </c>
      <c r="G14" s="83"/>
    </row>
    <row r="15" spans="2:7" ht="30.75" thickBot="1" x14ac:dyDescent="0.3">
      <c r="B15" s="76">
        <v>10</v>
      </c>
      <c r="C15" s="76" t="s">
        <v>1791</v>
      </c>
      <c r="D15" s="79">
        <v>3</v>
      </c>
      <c r="E15" s="81">
        <f t="shared" si="0"/>
        <v>45072</v>
      </c>
      <c r="F15" s="82">
        <f>Table5[[#This Row],[Start Date]]+Table5[[#This Row],[Task Duration]]-1</f>
        <v>45074</v>
      </c>
      <c r="G15" s="83"/>
    </row>
    <row r="16" spans="2:7" ht="15.75" thickBot="1" x14ac:dyDescent="0.3">
      <c r="D16" s="79"/>
    </row>
    <row r="17" spans="4:4" ht="15.75" thickBot="1" x14ac:dyDescent="0.3">
      <c r="D17" s="79"/>
    </row>
    <row r="18" spans="4:4" ht="15.75" thickBot="1" x14ac:dyDescent="0.3">
      <c r="D18" s="79"/>
    </row>
    <row r="19" spans="4:4" ht="15.75" thickBot="1" x14ac:dyDescent="0.3">
      <c r="D19" s="79"/>
    </row>
  </sheetData>
  <conditionalFormatting sqref="D6:D15">
    <cfRule type="expression" dxfId="146" priority="1">
      <formula>$D6=1</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373D6-8FCE-4956-B5D7-1D6BAB725C8F}">
  <sheetPr codeName="Sheet8"/>
  <dimension ref="C1:AM19"/>
  <sheetViews>
    <sheetView showGridLines="0" topLeftCell="C1" workbookViewId="0">
      <selection activeCell="E13" sqref="E13"/>
    </sheetView>
  </sheetViews>
  <sheetFormatPr defaultRowHeight="15" x14ac:dyDescent="0.25"/>
  <cols>
    <col min="3" max="3" width="19.85546875" bestFit="1" customWidth="1"/>
    <col min="4" max="4" width="17.5703125" customWidth="1"/>
    <col min="5" max="5" width="15.140625" customWidth="1"/>
    <col min="6" max="6" width="11.85546875" customWidth="1"/>
    <col min="7" max="7" width="12.7109375" customWidth="1"/>
    <col min="8" max="8" width="3.85546875" bestFit="1" customWidth="1"/>
    <col min="9" max="9" width="3.140625" bestFit="1" customWidth="1"/>
    <col min="10" max="10" width="4" bestFit="1" customWidth="1"/>
    <col min="11" max="11" width="3.140625" bestFit="1" customWidth="1"/>
    <col min="12" max="12" width="2.7109375" bestFit="1" customWidth="1"/>
    <col min="13" max="13" width="3" bestFit="1" customWidth="1"/>
    <col min="14" max="14" width="3.140625" bestFit="1" customWidth="1"/>
    <col min="15" max="15" width="3.85546875" bestFit="1" customWidth="1"/>
    <col min="16" max="16" width="3.140625" bestFit="1" customWidth="1"/>
    <col min="17" max="17" width="4" bestFit="1" customWidth="1"/>
    <col min="18" max="18" width="3.140625" bestFit="1" customWidth="1"/>
    <col min="19" max="19" width="2.7109375" bestFit="1" customWidth="1"/>
    <col min="20" max="20" width="3" bestFit="1" customWidth="1"/>
    <col min="21" max="21" width="3.140625" bestFit="1" customWidth="1"/>
    <col min="22" max="22" width="3.85546875" bestFit="1" customWidth="1"/>
    <col min="23" max="23" width="3.140625" bestFit="1" customWidth="1"/>
    <col min="24" max="24" width="4" bestFit="1" customWidth="1"/>
    <col min="25" max="25" width="3.140625" bestFit="1" customWidth="1"/>
    <col min="26" max="26" width="2.7109375" bestFit="1" customWidth="1"/>
    <col min="27" max="27" width="3" bestFit="1" customWidth="1"/>
    <col min="28" max="28" width="3.140625" bestFit="1" customWidth="1"/>
    <col min="29" max="29" width="3.85546875" bestFit="1" customWidth="1"/>
    <col min="30" max="30" width="3.140625" bestFit="1" customWidth="1"/>
    <col min="31" max="31" width="4" bestFit="1" customWidth="1"/>
    <col min="32" max="32" width="3.140625" bestFit="1" customWidth="1"/>
    <col min="33" max="33" width="2.7109375" bestFit="1" customWidth="1"/>
    <col min="34" max="34" width="3" bestFit="1" customWidth="1"/>
    <col min="35" max="35" width="3.140625" bestFit="1" customWidth="1"/>
    <col min="36" max="36" width="3.85546875" bestFit="1" customWidth="1"/>
    <col min="37" max="37" width="3.140625" bestFit="1" customWidth="1"/>
    <col min="38" max="38" width="4" bestFit="1" customWidth="1"/>
    <col min="39" max="39" width="3.140625" bestFit="1" customWidth="1"/>
  </cols>
  <sheetData>
    <row r="1" spans="3:39" s="106" customFormat="1" ht="9" customHeight="1" thickBot="1" x14ac:dyDescent="0.3"/>
    <row r="2" spans="3:39" ht="15.75" thickBot="1" x14ac:dyDescent="0.3">
      <c r="C2" s="77" t="s">
        <v>1792</v>
      </c>
      <c r="D2" s="77" t="s">
        <v>1793</v>
      </c>
      <c r="E2" s="77" t="s">
        <v>1794</v>
      </c>
      <c r="F2" s="77" t="s">
        <v>1795</v>
      </c>
    </row>
    <row r="3" spans="3:39" ht="15.75" thickBot="1" x14ac:dyDescent="0.3">
      <c r="C3" s="78" t="s">
        <v>1796</v>
      </c>
      <c r="D3" s="104">
        <f>SUM(E9:E19)</f>
        <v>31</v>
      </c>
      <c r="E3" s="105">
        <f>MIN(F9:F19)</f>
        <v>45108</v>
      </c>
      <c r="F3" s="105">
        <f>MAX(G9:G19)</f>
        <v>45138</v>
      </c>
    </row>
    <row r="4" spans="3:39" x14ac:dyDescent="0.25">
      <c r="C4" s="90"/>
      <c r="D4" s="91"/>
      <c r="E4" s="92"/>
      <c r="F4" s="92"/>
    </row>
    <row r="5" spans="3:39" ht="15.75" thickBot="1" x14ac:dyDescent="0.3">
      <c r="C5" s="90"/>
      <c r="D5" s="91"/>
      <c r="E5" s="92"/>
      <c r="F5" s="92"/>
    </row>
    <row r="6" spans="3:39" ht="15.75" thickBot="1" x14ac:dyDescent="0.3">
      <c r="C6" s="90"/>
      <c r="D6" s="91"/>
      <c r="E6" s="92"/>
      <c r="F6" s="92"/>
      <c r="H6" s="242">
        <f>H8</f>
        <v>45108</v>
      </c>
      <c r="I6" s="243"/>
      <c r="J6" s="243"/>
      <c r="K6" s="243"/>
      <c r="L6" s="243"/>
      <c r="M6" s="243"/>
      <c r="N6" s="243"/>
      <c r="O6" s="243"/>
      <c r="P6" s="243"/>
      <c r="Q6" s="243"/>
      <c r="R6" s="243"/>
      <c r="S6" s="243"/>
      <c r="T6" s="243"/>
      <c r="U6" s="243"/>
      <c r="V6" s="243"/>
      <c r="W6" s="243"/>
      <c r="X6" s="243"/>
      <c r="Y6" s="243"/>
      <c r="Z6" s="243"/>
      <c r="AA6" s="243"/>
      <c r="AB6" s="243"/>
      <c r="AC6" s="243"/>
      <c r="AD6" s="243"/>
      <c r="AE6" s="243"/>
      <c r="AF6" s="243"/>
      <c r="AG6" s="243"/>
      <c r="AH6" s="243"/>
      <c r="AI6" s="243"/>
      <c r="AJ6" s="243"/>
      <c r="AK6" s="243"/>
      <c r="AL6" s="243"/>
      <c r="AM6" s="244"/>
    </row>
    <row r="7" spans="3:39" x14ac:dyDescent="0.25">
      <c r="H7" s="93" t="str">
        <f>LEFT(TEXT(H8,"DDD"),2)</f>
        <v>Sa</v>
      </c>
      <c r="I7" s="93" t="str">
        <f t="shared" ref="I7:AM7" si="0">LEFT(TEXT(I8,"DDD"),2)</f>
        <v>Su</v>
      </c>
      <c r="J7" s="93" t="str">
        <f t="shared" si="0"/>
        <v>Mo</v>
      </c>
      <c r="K7" s="93" t="str">
        <f t="shared" si="0"/>
        <v>Tu</v>
      </c>
      <c r="L7" s="93" t="str">
        <f t="shared" si="0"/>
        <v>We</v>
      </c>
      <c r="M7" s="93" t="str">
        <f t="shared" si="0"/>
        <v>Th</v>
      </c>
      <c r="N7" s="93" t="str">
        <f t="shared" si="0"/>
        <v>Fr</v>
      </c>
      <c r="O7" s="93" t="str">
        <f t="shared" si="0"/>
        <v>Sa</v>
      </c>
      <c r="P7" s="93" t="str">
        <f t="shared" si="0"/>
        <v>Su</v>
      </c>
      <c r="Q7" s="93" t="str">
        <f t="shared" si="0"/>
        <v>Mo</v>
      </c>
      <c r="R7" s="93" t="str">
        <f t="shared" si="0"/>
        <v>Tu</v>
      </c>
      <c r="S7" s="93" t="str">
        <f t="shared" si="0"/>
        <v>We</v>
      </c>
      <c r="T7" s="93" t="str">
        <f t="shared" si="0"/>
        <v>Th</v>
      </c>
      <c r="U7" s="93" t="str">
        <f t="shared" si="0"/>
        <v>Fr</v>
      </c>
      <c r="V7" s="93" t="str">
        <f t="shared" si="0"/>
        <v>Sa</v>
      </c>
      <c r="W7" s="93" t="str">
        <f t="shared" si="0"/>
        <v>Su</v>
      </c>
      <c r="X7" s="93" t="str">
        <f t="shared" si="0"/>
        <v>Mo</v>
      </c>
      <c r="Y7" s="93" t="str">
        <f t="shared" si="0"/>
        <v>Tu</v>
      </c>
      <c r="Z7" s="93" t="str">
        <f t="shared" si="0"/>
        <v>We</v>
      </c>
      <c r="AA7" s="93" t="str">
        <f t="shared" si="0"/>
        <v>Th</v>
      </c>
      <c r="AB7" s="93" t="str">
        <f t="shared" si="0"/>
        <v>Fr</v>
      </c>
      <c r="AC7" s="93" t="str">
        <f t="shared" si="0"/>
        <v>Sa</v>
      </c>
      <c r="AD7" s="93" t="str">
        <f t="shared" si="0"/>
        <v>Su</v>
      </c>
      <c r="AE7" s="93" t="str">
        <f t="shared" si="0"/>
        <v>Mo</v>
      </c>
      <c r="AF7" s="93" t="str">
        <f t="shared" si="0"/>
        <v>Tu</v>
      </c>
      <c r="AG7" s="93" t="str">
        <f t="shared" si="0"/>
        <v>We</v>
      </c>
      <c r="AH7" s="93" t="str">
        <f t="shared" si="0"/>
        <v>Th</v>
      </c>
      <c r="AI7" s="93" t="str">
        <f t="shared" si="0"/>
        <v>Fr</v>
      </c>
      <c r="AJ7" s="93" t="str">
        <f t="shared" si="0"/>
        <v>Sa</v>
      </c>
      <c r="AK7" s="93" t="str">
        <f t="shared" si="0"/>
        <v>Su</v>
      </c>
      <c r="AL7" s="93" t="str">
        <f t="shared" si="0"/>
        <v>Mo</v>
      </c>
      <c r="AM7" s="93" t="str">
        <f t="shared" si="0"/>
        <v>Tu</v>
      </c>
    </row>
    <row r="8" spans="3:39" ht="30" x14ac:dyDescent="0.25">
      <c r="C8" s="96" t="s">
        <v>0</v>
      </c>
      <c r="D8" s="97" t="s">
        <v>1779</v>
      </c>
      <c r="E8" s="97" t="s">
        <v>1780</v>
      </c>
      <c r="F8" s="97" t="s">
        <v>1749</v>
      </c>
      <c r="G8" s="98" t="s">
        <v>1781</v>
      </c>
      <c r="H8" s="89">
        <f>F9</f>
        <v>45108</v>
      </c>
      <c r="I8" s="89">
        <f>H8+1</f>
        <v>45109</v>
      </c>
      <c r="J8" s="89">
        <f t="shared" ref="J8:AM8" si="1">I8+1</f>
        <v>45110</v>
      </c>
      <c r="K8" s="89">
        <f t="shared" si="1"/>
        <v>45111</v>
      </c>
      <c r="L8" s="89">
        <f t="shared" si="1"/>
        <v>45112</v>
      </c>
      <c r="M8" s="89">
        <f t="shared" si="1"/>
        <v>45113</v>
      </c>
      <c r="N8" s="89">
        <f t="shared" si="1"/>
        <v>45114</v>
      </c>
      <c r="O8" s="89">
        <f t="shared" si="1"/>
        <v>45115</v>
      </c>
      <c r="P8" s="89">
        <f t="shared" si="1"/>
        <v>45116</v>
      </c>
      <c r="Q8" s="89">
        <f t="shared" si="1"/>
        <v>45117</v>
      </c>
      <c r="R8" s="89">
        <f t="shared" si="1"/>
        <v>45118</v>
      </c>
      <c r="S8" s="89">
        <f t="shared" si="1"/>
        <v>45119</v>
      </c>
      <c r="T8" s="89">
        <f t="shared" si="1"/>
        <v>45120</v>
      </c>
      <c r="U8" s="89">
        <f t="shared" si="1"/>
        <v>45121</v>
      </c>
      <c r="V8" s="89">
        <f t="shared" si="1"/>
        <v>45122</v>
      </c>
      <c r="W8" s="89">
        <f t="shared" si="1"/>
        <v>45123</v>
      </c>
      <c r="X8" s="89">
        <f t="shared" si="1"/>
        <v>45124</v>
      </c>
      <c r="Y8" s="89">
        <f t="shared" si="1"/>
        <v>45125</v>
      </c>
      <c r="Z8" s="89">
        <f t="shared" si="1"/>
        <v>45126</v>
      </c>
      <c r="AA8" s="89">
        <f t="shared" si="1"/>
        <v>45127</v>
      </c>
      <c r="AB8" s="89">
        <f t="shared" si="1"/>
        <v>45128</v>
      </c>
      <c r="AC8" s="89">
        <f t="shared" si="1"/>
        <v>45129</v>
      </c>
      <c r="AD8" s="89">
        <f t="shared" si="1"/>
        <v>45130</v>
      </c>
      <c r="AE8" s="89">
        <f t="shared" si="1"/>
        <v>45131</v>
      </c>
      <c r="AF8" s="89">
        <f t="shared" si="1"/>
        <v>45132</v>
      </c>
      <c r="AG8" s="89">
        <f t="shared" si="1"/>
        <v>45133</v>
      </c>
      <c r="AH8" s="89">
        <f t="shared" si="1"/>
        <v>45134</v>
      </c>
      <c r="AI8" s="89">
        <f t="shared" si="1"/>
        <v>45135</v>
      </c>
      <c r="AJ8" s="89">
        <f t="shared" si="1"/>
        <v>45136</v>
      </c>
      <c r="AK8" s="89">
        <f t="shared" si="1"/>
        <v>45137</v>
      </c>
      <c r="AL8" s="89">
        <f>AK8+1</f>
        <v>45138</v>
      </c>
      <c r="AM8" s="89">
        <f t="shared" si="1"/>
        <v>45139</v>
      </c>
    </row>
    <row r="9" spans="3:39" x14ac:dyDescent="0.25">
      <c r="C9" s="94">
        <f>ROW(1:1)</f>
        <v>1</v>
      </c>
      <c r="D9" s="86" t="s">
        <v>1782</v>
      </c>
      <c r="E9" s="87">
        <v>3</v>
      </c>
      <c r="F9" s="88">
        <v>45108</v>
      </c>
      <c r="G9" s="95">
        <f>F9+E9-1</f>
        <v>45110</v>
      </c>
      <c r="H9" s="85" t="str">
        <f>IF(AND(H$8&gt;=$F9,H$8&lt;=$G9),"A","")</f>
        <v>A</v>
      </c>
      <c r="I9" s="85" t="str">
        <f t="shared" ref="I9:AM9" si="2">IF(AND(I$8&gt;=$F9,I$8&lt;=$G9),"A","")</f>
        <v>A</v>
      </c>
      <c r="J9" s="85" t="str">
        <f t="shared" si="2"/>
        <v>A</v>
      </c>
      <c r="K9" s="85" t="str">
        <f t="shared" si="2"/>
        <v/>
      </c>
      <c r="L9" s="85" t="str">
        <f t="shared" si="2"/>
        <v/>
      </c>
      <c r="M9" s="85" t="str">
        <f t="shared" si="2"/>
        <v/>
      </c>
      <c r="N9" s="85" t="str">
        <f t="shared" si="2"/>
        <v/>
      </c>
      <c r="O9" s="85" t="str">
        <f t="shared" si="2"/>
        <v/>
      </c>
      <c r="P9" s="85" t="str">
        <f t="shared" si="2"/>
        <v/>
      </c>
      <c r="Q9" s="85" t="str">
        <f t="shared" si="2"/>
        <v/>
      </c>
      <c r="R9" s="85" t="str">
        <f t="shared" si="2"/>
        <v/>
      </c>
      <c r="S9" s="85" t="str">
        <f t="shared" si="2"/>
        <v/>
      </c>
      <c r="T9" s="85" t="str">
        <f t="shared" si="2"/>
        <v/>
      </c>
      <c r="U9" s="85" t="str">
        <f t="shared" si="2"/>
        <v/>
      </c>
      <c r="V9" s="85" t="str">
        <f t="shared" si="2"/>
        <v/>
      </c>
      <c r="W9" s="85" t="str">
        <f t="shared" si="2"/>
        <v/>
      </c>
      <c r="X9" s="85" t="str">
        <f t="shared" si="2"/>
        <v/>
      </c>
      <c r="Y9" s="85" t="str">
        <f t="shared" si="2"/>
        <v/>
      </c>
      <c r="Z9" s="85" t="str">
        <f t="shared" si="2"/>
        <v/>
      </c>
      <c r="AA9" s="85" t="str">
        <f t="shared" si="2"/>
        <v/>
      </c>
      <c r="AB9" s="85" t="str">
        <f t="shared" si="2"/>
        <v/>
      </c>
      <c r="AC9" s="85" t="str">
        <f t="shared" si="2"/>
        <v/>
      </c>
      <c r="AD9" s="85" t="str">
        <f t="shared" si="2"/>
        <v/>
      </c>
      <c r="AE9" s="85" t="str">
        <f t="shared" si="2"/>
        <v/>
      </c>
      <c r="AF9" s="85" t="str">
        <f t="shared" si="2"/>
        <v/>
      </c>
      <c r="AG9" s="85" t="str">
        <f t="shared" si="2"/>
        <v/>
      </c>
      <c r="AH9" s="85" t="str">
        <f t="shared" si="2"/>
        <v/>
      </c>
      <c r="AI9" s="85" t="str">
        <f t="shared" si="2"/>
        <v/>
      </c>
      <c r="AJ9" s="85" t="str">
        <f t="shared" si="2"/>
        <v/>
      </c>
      <c r="AK9" s="85" t="str">
        <f t="shared" si="2"/>
        <v/>
      </c>
      <c r="AL9" s="85" t="str">
        <f t="shared" si="2"/>
        <v/>
      </c>
      <c r="AM9" s="85" t="str">
        <f t="shared" si="2"/>
        <v/>
      </c>
    </row>
    <row r="10" spans="3:39" x14ac:dyDescent="0.25">
      <c r="C10" s="94">
        <f>ROW(2:2)</f>
        <v>2</v>
      </c>
      <c r="D10" s="86" t="s">
        <v>1783</v>
      </c>
      <c r="E10" s="87">
        <v>2</v>
      </c>
      <c r="F10" s="88">
        <f>G9+1</f>
        <v>45111</v>
      </c>
      <c r="G10" s="95">
        <f>F10+E10-1</f>
        <v>45112</v>
      </c>
      <c r="H10" s="85" t="str">
        <f t="shared" ref="H10:W19" si="3">IF(AND(H$8&gt;=$F10,H$8&lt;=$G10),"A","")</f>
        <v/>
      </c>
      <c r="I10" s="85" t="str">
        <f t="shared" si="3"/>
        <v/>
      </c>
      <c r="J10" s="85" t="str">
        <f t="shared" si="3"/>
        <v/>
      </c>
      <c r="K10" s="85" t="str">
        <f t="shared" si="3"/>
        <v>A</v>
      </c>
      <c r="L10" s="85" t="str">
        <f t="shared" si="3"/>
        <v>A</v>
      </c>
      <c r="M10" s="85" t="str">
        <f t="shared" si="3"/>
        <v/>
      </c>
      <c r="N10" s="85" t="str">
        <f t="shared" si="3"/>
        <v/>
      </c>
      <c r="O10" s="85" t="str">
        <f t="shared" si="3"/>
        <v/>
      </c>
      <c r="P10" s="85" t="str">
        <f t="shared" si="3"/>
        <v/>
      </c>
      <c r="Q10" s="85" t="str">
        <f t="shared" si="3"/>
        <v/>
      </c>
      <c r="R10" s="85" t="str">
        <f t="shared" si="3"/>
        <v/>
      </c>
      <c r="S10" s="85" t="str">
        <f t="shared" si="3"/>
        <v/>
      </c>
      <c r="T10" s="85" t="str">
        <f t="shared" si="3"/>
        <v/>
      </c>
      <c r="U10" s="85" t="str">
        <f t="shared" si="3"/>
        <v/>
      </c>
      <c r="V10" s="85" t="str">
        <f t="shared" si="3"/>
        <v/>
      </c>
      <c r="W10" s="85" t="str">
        <f t="shared" si="3"/>
        <v/>
      </c>
      <c r="X10" s="85" t="str">
        <f t="shared" ref="X10:AM19" si="4">IF(AND(X$8&gt;=$F10,X$8&lt;=$G10),"A","")</f>
        <v/>
      </c>
      <c r="Y10" s="85" t="str">
        <f t="shared" si="4"/>
        <v/>
      </c>
      <c r="Z10" s="85" t="str">
        <f t="shared" si="4"/>
        <v/>
      </c>
      <c r="AA10" s="85" t="str">
        <f t="shared" si="4"/>
        <v/>
      </c>
      <c r="AB10" s="85" t="str">
        <f t="shared" si="4"/>
        <v/>
      </c>
      <c r="AC10" s="85" t="str">
        <f t="shared" si="4"/>
        <v/>
      </c>
      <c r="AD10" s="85" t="str">
        <f t="shared" si="4"/>
        <v/>
      </c>
      <c r="AE10" s="85" t="str">
        <f t="shared" si="4"/>
        <v/>
      </c>
      <c r="AF10" s="85" t="str">
        <f t="shared" si="4"/>
        <v/>
      </c>
      <c r="AG10" s="85" t="str">
        <f t="shared" si="4"/>
        <v/>
      </c>
      <c r="AH10" s="85" t="str">
        <f t="shared" si="4"/>
        <v/>
      </c>
      <c r="AI10" s="85" t="str">
        <f t="shared" si="4"/>
        <v/>
      </c>
      <c r="AJ10" s="85" t="str">
        <f t="shared" si="4"/>
        <v/>
      </c>
      <c r="AK10" s="85" t="str">
        <f t="shared" si="4"/>
        <v/>
      </c>
      <c r="AL10" s="85" t="str">
        <f t="shared" si="4"/>
        <v/>
      </c>
      <c r="AM10" s="85" t="str">
        <f t="shared" si="4"/>
        <v/>
      </c>
    </row>
    <row r="11" spans="3:39" ht="30" x14ac:dyDescent="0.25">
      <c r="C11" s="94">
        <f>ROW(3:3)</f>
        <v>3</v>
      </c>
      <c r="D11" s="86" t="s">
        <v>1784</v>
      </c>
      <c r="E11" s="87">
        <v>2</v>
      </c>
      <c r="F11" s="88">
        <f t="shared" ref="F11:F18" si="5">G10+1</f>
        <v>45113</v>
      </c>
      <c r="G11" s="95">
        <f t="shared" ref="G11:G18" si="6">F11+E11-1</f>
        <v>45114</v>
      </c>
      <c r="H11" s="85" t="str">
        <f t="shared" si="3"/>
        <v/>
      </c>
      <c r="I11" s="85" t="str">
        <f t="shared" si="3"/>
        <v/>
      </c>
      <c r="J11" s="85" t="str">
        <f t="shared" si="3"/>
        <v/>
      </c>
      <c r="K11" s="85" t="str">
        <f t="shared" si="3"/>
        <v/>
      </c>
      <c r="L11" s="85" t="str">
        <f t="shared" si="3"/>
        <v/>
      </c>
      <c r="M11" s="85" t="str">
        <f t="shared" si="3"/>
        <v>A</v>
      </c>
      <c r="N11" s="85" t="str">
        <f t="shared" si="3"/>
        <v>A</v>
      </c>
      <c r="O11" s="85" t="str">
        <f t="shared" si="3"/>
        <v/>
      </c>
      <c r="P11" s="85" t="str">
        <f t="shared" si="3"/>
        <v/>
      </c>
      <c r="Q11" s="85" t="str">
        <f t="shared" si="3"/>
        <v/>
      </c>
      <c r="R11" s="85" t="str">
        <f t="shared" si="3"/>
        <v/>
      </c>
      <c r="S11" s="85" t="str">
        <f t="shared" si="3"/>
        <v/>
      </c>
      <c r="T11" s="85" t="str">
        <f t="shared" si="3"/>
        <v/>
      </c>
      <c r="U11" s="85" t="str">
        <f t="shared" si="3"/>
        <v/>
      </c>
      <c r="V11" s="85" t="str">
        <f t="shared" si="3"/>
        <v/>
      </c>
      <c r="W11" s="85" t="str">
        <f t="shared" si="3"/>
        <v/>
      </c>
      <c r="X11" s="85" t="str">
        <f t="shared" si="4"/>
        <v/>
      </c>
      <c r="Y11" s="85" t="str">
        <f t="shared" si="4"/>
        <v/>
      </c>
      <c r="Z11" s="85" t="str">
        <f t="shared" si="4"/>
        <v/>
      </c>
      <c r="AA11" s="85" t="str">
        <f t="shared" si="4"/>
        <v/>
      </c>
      <c r="AB11" s="85" t="str">
        <f t="shared" si="4"/>
        <v/>
      </c>
      <c r="AC11" s="85" t="str">
        <f t="shared" si="4"/>
        <v/>
      </c>
      <c r="AD11" s="85" t="str">
        <f t="shared" si="4"/>
        <v/>
      </c>
      <c r="AE11" s="85" t="str">
        <f t="shared" si="4"/>
        <v/>
      </c>
      <c r="AF11" s="85" t="str">
        <f t="shared" si="4"/>
        <v/>
      </c>
      <c r="AG11" s="85" t="str">
        <f t="shared" si="4"/>
        <v/>
      </c>
      <c r="AH11" s="85" t="str">
        <f t="shared" si="4"/>
        <v/>
      </c>
      <c r="AI11" s="85" t="str">
        <f t="shared" si="4"/>
        <v/>
      </c>
      <c r="AJ11" s="85" t="str">
        <f t="shared" si="4"/>
        <v/>
      </c>
      <c r="AK11" s="85" t="str">
        <f t="shared" si="4"/>
        <v/>
      </c>
      <c r="AL11" s="85" t="str">
        <f t="shared" si="4"/>
        <v/>
      </c>
      <c r="AM11" s="85" t="str">
        <f t="shared" si="4"/>
        <v/>
      </c>
    </row>
    <row r="12" spans="3:39" ht="30" x14ac:dyDescent="0.25">
      <c r="C12" s="94">
        <f>ROW(4:4)</f>
        <v>4</v>
      </c>
      <c r="D12" s="86" t="s">
        <v>1785</v>
      </c>
      <c r="E12" s="87">
        <v>3</v>
      </c>
      <c r="F12" s="88">
        <f t="shared" si="5"/>
        <v>45115</v>
      </c>
      <c r="G12" s="95">
        <f t="shared" si="6"/>
        <v>45117</v>
      </c>
      <c r="H12" s="85" t="str">
        <f t="shared" si="3"/>
        <v/>
      </c>
      <c r="I12" s="85" t="str">
        <f t="shared" si="3"/>
        <v/>
      </c>
      <c r="J12" s="85" t="str">
        <f t="shared" si="3"/>
        <v/>
      </c>
      <c r="K12" s="85" t="str">
        <f t="shared" si="3"/>
        <v/>
      </c>
      <c r="L12" s="85" t="str">
        <f t="shared" si="3"/>
        <v/>
      </c>
      <c r="M12" s="85" t="str">
        <f t="shared" si="3"/>
        <v/>
      </c>
      <c r="N12" s="85" t="str">
        <f t="shared" si="3"/>
        <v/>
      </c>
      <c r="O12" s="85" t="str">
        <f t="shared" si="3"/>
        <v>A</v>
      </c>
      <c r="P12" s="85" t="str">
        <f t="shared" si="3"/>
        <v>A</v>
      </c>
      <c r="Q12" s="85" t="str">
        <f t="shared" si="3"/>
        <v>A</v>
      </c>
      <c r="R12" s="85" t="str">
        <f t="shared" si="3"/>
        <v/>
      </c>
      <c r="S12" s="85" t="str">
        <f t="shared" si="3"/>
        <v/>
      </c>
      <c r="T12" s="85" t="str">
        <f t="shared" si="3"/>
        <v/>
      </c>
      <c r="U12" s="85" t="str">
        <f t="shared" si="3"/>
        <v/>
      </c>
      <c r="V12" s="85" t="str">
        <f t="shared" si="3"/>
        <v/>
      </c>
      <c r="W12" s="85" t="str">
        <f t="shared" si="3"/>
        <v/>
      </c>
      <c r="X12" s="85" t="str">
        <f t="shared" si="4"/>
        <v/>
      </c>
      <c r="Y12" s="85" t="str">
        <f t="shared" si="4"/>
        <v/>
      </c>
      <c r="Z12" s="85" t="str">
        <f t="shared" si="4"/>
        <v/>
      </c>
      <c r="AA12" s="85" t="str">
        <f t="shared" si="4"/>
        <v/>
      </c>
      <c r="AB12" s="85" t="str">
        <f t="shared" si="4"/>
        <v/>
      </c>
      <c r="AC12" s="85" t="str">
        <f t="shared" si="4"/>
        <v/>
      </c>
      <c r="AD12" s="85" t="str">
        <f t="shared" si="4"/>
        <v/>
      </c>
      <c r="AE12" s="85" t="str">
        <f t="shared" si="4"/>
        <v/>
      </c>
      <c r="AF12" s="85" t="str">
        <f t="shared" si="4"/>
        <v/>
      </c>
      <c r="AG12" s="85" t="str">
        <f t="shared" si="4"/>
        <v/>
      </c>
      <c r="AH12" s="85" t="str">
        <f t="shared" si="4"/>
        <v/>
      </c>
      <c r="AI12" s="85" t="str">
        <f t="shared" si="4"/>
        <v/>
      </c>
      <c r="AJ12" s="85" t="str">
        <f t="shared" si="4"/>
        <v/>
      </c>
      <c r="AK12" s="85" t="str">
        <f t="shared" si="4"/>
        <v/>
      </c>
      <c r="AL12" s="85" t="str">
        <f t="shared" si="4"/>
        <v/>
      </c>
      <c r="AM12" s="85" t="str">
        <f t="shared" si="4"/>
        <v/>
      </c>
    </row>
    <row r="13" spans="3:39" ht="30" x14ac:dyDescent="0.25">
      <c r="C13" s="94">
        <f t="shared" ref="C13:C19" si="7">ROW(6:6)</f>
        <v>6</v>
      </c>
      <c r="D13" s="86" t="s">
        <v>1786</v>
      </c>
      <c r="E13" s="87">
        <v>3</v>
      </c>
      <c r="F13" s="88">
        <f t="shared" si="5"/>
        <v>45118</v>
      </c>
      <c r="G13" s="95">
        <f t="shared" si="6"/>
        <v>45120</v>
      </c>
      <c r="H13" s="85" t="str">
        <f t="shared" si="3"/>
        <v/>
      </c>
      <c r="I13" s="85" t="str">
        <f t="shared" si="3"/>
        <v/>
      </c>
      <c r="J13" s="85" t="str">
        <f t="shared" si="3"/>
        <v/>
      </c>
      <c r="K13" s="85" t="str">
        <f t="shared" si="3"/>
        <v/>
      </c>
      <c r="L13" s="85" t="str">
        <f t="shared" si="3"/>
        <v/>
      </c>
      <c r="M13" s="85" t="str">
        <f t="shared" si="3"/>
        <v/>
      </c>
      <c r="N13" s="85" t="str">
        <f t="shared" si="3"/>
        <v/>
      </c>
      <c r="O13" s="85" t="str">
        <f t="shared" si="3"/>
        <v/>
      </c>
      <c r="P13" s="85" t="str">
        <f t="shared" si="3"/>
        <v/>
      </c>
      <c r="Q13" s="85" t="str">
        <f t="shared" si="3"/>
        <v/>
      </c>
      <c r="R13" s="85" t="str">
        <f t="shared" si="3"/>
        <v>A</v>
      </c>
      <c r="S13" s="85" t="str">
        <f t="shared" si="3"/>
        <v>A</v>
      </c>
      <c r="T13" s="85" t="str">
        <f t="shared" si="3"/>
        <v>A</v>
      </c>
      <c r="U13" s="85" t="str">
        <f t="shared" si="3"/>
        <v/>
      </c>
      <c r="V13" s="85" t="str">
        <f t="shared" si="3"/>
        <v/>
      </c>
      <c r="W13" s="85" t="str">
        <f t="shared" si="3"/>
        <v/>
      </c>
      <c r="X13" s="85" t="str">
        <f t="shared" si="4"/>
        <v/>
      </c>
      <c r="Y13" s="85" t="str">
        <f t="shared" si="4"/>
        <v/>
      </c>
      <c r="Z13" s="85" t="str">
        <f t="shared" si="4"/>
        <v/>
      </c>
      <c r="AA13" s="85" t="str">
        <f t="shared" si="4"/>
        <v/>
      </c>
      <c r="AB13" s="85" t="str">
        <f t="shared" si="4"/>
        <v/>
      </c>
      <c r="AC13" s="85" t="str">
        <f t="shared" si="4"/>
        <v/>
      </c>
      <c r="AD13" s="85" t="str">
        <f t="shared" si="4"/>
        <v/>
      </c>
      <c r="AE13" s="85" t="str">
        <f t="shared" si="4"/>
        <v/>
      </c>
      <c r="AF13" s="85" t="str">
        <f t="shared" si="4"/>
        <v/>
      </c>
      <c r="AG13" s="85" t="str">
        <f t="shared" si="4"/>
        <v/>
      </c>
      <c r="AH13" s="85" t="str">
        <f t="shared" si="4"/>
        <v/>
      </c>
      <c r="AI13" s="85" t="str">
        <f t="shared" si="4"/>
        <v/>
      </c>
      <c r="AJ13" s="85" t="str">
        <f t="shared" si="4"/>
        <v/>
      </c>
      <c r="AK13" s="85" t="str">
        <f t="shared" si="4"/>
        <v/>
      </c>
      <c r="AL13" s="85" t="str">
        <f t="shared" si="4"/>
        <v/>
      </c>
      <c r="AM13" s="85" t="str">
        <f t="shared" si="4"/>
        <v/>
      </c>
    </row>
    <row r="14" spans="3:39" ht="30" x14ac:dyDescent="0.25">
      <c r="C14" s="94">
        <f t="shared" si="7"/>
        <v>7</v>
      </c>
      <c r="D14" s="86" t="s">
        <v>1787</v>
      </c>
      <c r="E14" s="87">
        <v>3</v>
      </c>
      <c r="F14" s="88">
        <f t="shared" si="5"/>
        <v>45121</v>
      </c>
      <c r="G14" s="95">
        <f t="shared" si="6"/>
        <v>45123</v>
      </c>
      <c r="H14" s="85" t="str">
        <f t="shared" si="3"/>
        <v/>
      </c>
      <c r="I14" s="85" t="str">
        <f t="shared" si="3"/>
        <v/>
      </c>
      <c r="J14" s="85" t="str">
        <f t="shared" si="3"/>
        <v/>
      </c>
      <c r="K14" s="85" t="str">
        <f t="shared" si="3"/>
        <v/>
      </c>
      <c r="L14" s="85" t="str">
        <f t="shared" si="3"/>
        <v/>
      </c>
      <c r="M14" s="85" t="str">
        <f t="shared" si="3"/>
        <v/>
      </c>
      <c r="N14" s="85" t="str">
        <f t="shared" si="3"/>
        <v/>
      </c>
      <c r="O14" s="85" t="str">
        <f t="shared" si="3"/>
        <v/>
      </c>
      <c r="P14" s="85" t="str">
        <f t="shared" si="3"/>
        <v/>
      </c>
      <c r="Q14" s="85" t="str">
        <f t="shared" si="3"/>
        <v/>
      </c>
      <c r="R14" s="85" t="str">
        <f t="shared" si="3"/>
        <v/>
      </c>
      <c r="S14" s="85" t="str">
        <f t="shared" si="3"/>
        <v/>
      </c>
      <c r="T14" s="85" t="str">
        <f t="shared" si="3"/>
        <v/>
      </c>
      <c r="U14" s="85" t="str">
        <f t="shared" si="3"/>
        <v>A</v>
      </c>
      <c r="V14" s="85" t="str">
        <f t="shared" si="3"/>
        <v>A</v>
      </c>
      <c r="W14" s="85" t="str">
        <f t="shared" si="3"/>
        <v>A</v>
      </c>
      <c r="X14" s="85" t="str">
        <f t="shared" si="4"/>
        <v/>
      </c>
      <c r="Y14" s="85" t="str">
        <f t="shared" si="4"/>
        <v/>
      </c>
      <c r="Z14" s="85" t="str">
        <f t="shared" si="4"/>
        <v/>
      </c>
      <c r="AA14" s="85" t="str">
        <f t="shared" si="4"/>
        <v/>
      </c>
      <c r="AB14" s="85" t="str">
        <f t="shared" si="4"/>
        <v/>
      </c>
      <c r="AC14" s="85" t="str">
        <f t="shared" si="4"/>
        <v/>
      </c>
      <c r="AD14" s="85" t="str">
        <f t="shared" si="4"/>
        <v/>
      </c>
      <c r="AE14" s="85" t="str">
        <f t="shared" si="4"/>
        <v/>
      </c>
      <c r="AF14" s="85" t="str">
        <f t="shared" si="4"/>
        <v/>
      </c>
      <c r="AG14" s="85" t="str">
        <f t="shared" si="4"/>
        <v/>
      </c>
      <c r="AH14" s="85" t="str">
        <f t="shared" si="4"/>
        <v/>
      </c>
      <c r="AI14" s="85" t="str">
        <f t="shared" si="4"/>
        <v/>
      </c>
      <c r="AJ14" s="85" t="str">
        <f t="shared" si="4"/>
        <v/>
      </c>
      <c r="AK14" s="85" t="str">
        <f t="shared" si="4"/>
        <v/>
      </c>
      <c r="AL14" s="85" t="str">
        <f t="shared" si="4"/>
        <v/>
      </c>
      <c r="AM14" s="85" t="str">
        <f t="shared" si="4"/>
        <v/>
      </c>
    </row>
    <row r="15" spans="3:39" ht="30" x14ac:dyDescent="0.25">
      <c r="C15" s="94">
        <f t="shared" si="7"/>
        <v>8</v>
      </c>
      <c r="D15" s="86" t="s">
        <v>1788</v>
      </c>
      <c r="E15" s="87">
        <v>3</v>
      </c>
      <c r="F15" s="88">
        <f t="shared" si="5"/>
        <v>45124</v>
      </c>
      <c r="G15" s="95">
        <f t="shared" si="6"/>
        <v>45126</v>
      </c>
      <c r="H15" s="85" t="str">
        <f t="shared" si="3"/>
        <v/>
      </c>
      <c r="I15" s="85" t="str">
        <f t="shared" si="3"/>
        <v/>
      </c>
      <c r="J15" s="85" t="str">
        <f t="shared" si="3"/>
        <v/>
      </c>
      <c r="K15" s="85" t="str">
        <f t="shared" si="3"/>
        <v/>
      </c>
      <c r="L15" s="85" t="str">
        <f t="shared" si="3"/>
        <v/>
      </c>
      <c r="M15" s="85" t="str">
        <f t="shared" si="3"/>
        <v/>
      </c>
      <c r="N15" s="85" t="str">
        <f t="shared" si="3"/>
        <v/>
      </c>
      <c r="O15" s="85" t="str">
        <f t="shared" si="3"/>
        <v/>
      </c>
      <c r="P15" s="85" t="str">
        <f t="shared" si="3"/>
        <v/>
      </c>
      <c r="Q15" s="85" t="str">
        <f t="shared" si="3"/>
        <v/>
      </c>
      <c r="R15" s="85" t="str">
        <f t="shared" si="3"/>
        <v/>
      </c>
      <c r="S15" s="85" t="str">
        <f t="shared" si="3"/>
        <v/>
      </c>
      <c r="T15" s="85" t="str">
        <f t="shared" si="3"/>
        <v/>
      </c>
      <c r="U15" s="85" t="str">
        <f t="shared" si="3"/>
        <v/>
      </c>
      <c r="V15" s="85" t="str">
        <f t="shared" si="3"/>
        <v/>
      </c>
      <c r="W15" s="85" t="str">
        <f t="shared" si="3"/>
        <v/>
      </c>
      <c r="X15" s="85" t="str">
        <f t="shared" si="4"/>
        <v>A</v>
      </c>
      <c r="Y15" s="85" t="str">
        <f t="shared" si="4"/>
        <v>A</v>
      </c>
      <c r="Z15" s="85" t="str">
        <f t="shared" si="4"/>
        <v>A</v>
      </c>
      <c r="AA15" s="85" t="str">
        <f t="shared" si="4"/>
        <v/>
      </c>
      <c r="AB15" s="85" t="str">
        <f t="shared" si="4"/>
        <v/>
      </c>
      <c r="AC15" s="85" t="str">
        <f t="shared" si="4"/>
        <v/>
      </c>
      <c r="AD15" s="85" t="str">
        <f t="shared" si="4"/>
        <v/>
      </c>
      <c r="AE15" s="85" t="str">
        <f t="shared" si="4"/>
        <v/>
      </c>
      <c r="AF15" s="85" t="str">
        <f t="shared" si="4"/>
        <v/>
      </c>
      <c r="AG15" s="85" t="str">
        <f t="shared" si="4"/>
        <v/>
      </c>
      <c r="AH15" s="85" t="str">
        <f t="shared" si="4"/>
        <v/>
      </c>
      <c r="AI15" s="85" t="str">
        <f t="shared" si="4"/>
        <v/>
      </c>
      <c r="AJ15" s="85" t="str">
        <f t="shared" si="4"/>
        <v/>
      </c>
      <c r="AK15" s="85" t="str">
        <f t="shared" si="4"/>
        <v/>
      </c>
      <c r="AL15" s="85" t="str">
        <f t="shared" si="4"/>
        <v/>
      </c>
      <c r="AM15" s="85" t="str">
        <f t="shared" si="4"/>
        <v/>
      </c>
    </row>
    <row r="16" spans="3:39" ht="30" x14ac:dyDescent="0.25">
      <c r="C16" s="94">
        <f t="shared" si="7"/>
        <v>9</v>
      </c>
      <c r="D16" s="86" t="s">
        <v>1789</v>
      </c>
      <c r="E16" s="87">
        <v>3</v>
      </c>
      <c r="F16" s="88">
        <f t="shared" si="5"/>
        <v>45127</v>
      </c>
      <c r="G16" s="95">
        <f t="shared" si="6"/>
        <v>45129</v>
      </c>
      <c r="H16" s="85" t="str">
        <f t="shared" si="3"/>
        <v/>
      </c>
      <c r="I16" s="85" t="str">
        <f t="shared" si="3"/>
        <v/>
      </c>
      <c r="J16" s="85" t="str">
        <f t="shared" si="3"/>
        <v/>
      </c>
      <c r="K16" s="85" t="str">
        <f t="shared" si="3"/>
        <v/>
      </c>
      <c r="L16" s="85" t="str">
        <f t="shared" si="3"/>
        <v/>
      </c>
      <c r="M16" s="85" t="str">
        <f t="shared" si="3"/>
        <v/>
      </c>
      <c r="N16" s="85" t="str">
        <f t="shared" si="3"/>
        <v/>
      </c>
      <c r="O16" s="85" t="str">
        <f t="shared" si="3"/>
        <v/>
      </c>
      <c r="P16" s="85" t="str">
        <f t="shared" si="3"/>
        <v/>
      </c>
      <c r="Q16" s="85" t="str">
        <f t="shared" si="3"/>
        <v/>
      </c>
      <c r="R16" s="85" t="str">
        <f t="shared" si="3"/>
        <v/>
      </c>
      <c r="S16" s="85" t="str">
        <f t="shared" si="3"/>
        <v/>
      </c>
      <c r="T16" s="85" t="str">
        <f t="shared" si="3"/>
        <v/>
      </c>
      <c r="U16" s="85" t="str">
        <f t="shared" si="3"/>
        <v/>
      </c>
      <c r="V16" s="85" t="str">
        <f t="shared" si="3"/>
        <v/>
      </c>
      <c r="W16" s="85" t="str">
        <f t="shared" si="3"/>
        <v/>
      </c>
      <c r="X16" s="85" t="str">
        <f t="shared" si="4"/>
        <v/>
      </c>
      <c r="Y16" s="85" t="str">
        <f t="shared" si="4"/>
        <v/>
      </c>
      <c r="Z16" s="85" t="str">
        <f t="shared" si="4"/>
        <v/>
      </c>
      <c r="AA16" s="85" t="str">
        <f t="shared" si="4"/>
        <v>A</v>
      </c>
      <c r="AB16" s="85" t="str">
        <f t="shared" si="4"/>
        <v>A</v>
      </c>
      <c r="AC16" s="85" t="str">
        <f t="shared" si="4"/>
        <v>A</v>
      </c>
      <c r="AD16" s="85" t="str">
        <f t="shared" si="4"/>
        <v/>
      </c>
      <c r="AE16" s="85" t="str">
        <f t="shared" si="4"/>
        <v/>
      </c>
      <c r="AF16" s="85" t="str">
        <f t="shared" si="4"/>
        <v/>
      </c>
      <c r="AG16" s="85" t="str">
        <f t="shared" si="4"/>
        <v/>
      </c>
      <c r="AH16" s="85" t="str">
        <f t="shared" si="4"/>
        <v/>
      </c>
      <c r="AI16" s="85" t="str">
        <f t="shared" si="4"/>
        <v/>
      </c>
      <c r="AJ16" s="85" t="str">
        <f t="shared" si="4"/>
        <v/>
      </c>
      <c r="AK16" s="85" t="str">
        <f t="shared" si="4"/>
        <v/>
      </c>
      <c r="AL16" s="85" t="str">
        <f t="shared" si="4"/>
        <v/>
      </c>
      <c r="AM16" s="85" t="str">
        <f t="shared" si="4"/>
        <v/>
      </c>
    </row>
    <row r="17" spans="3:39" ht="30" x14ac:dyDescent="0.25">
      <c r="C17" s="94">
        <f t="shared" si="7"/>
        <v>10</v>
      </c>
      <c r="D17" s="86" t="s">
        <v>1790</v>
      </c>
      <c r="E17" s="87">
        <v>4</v>
      </c>
      <c r="F17" s="88">
        <f t="shared" si="5"/>
        <v>45130</v>
      </c>
      <c r="G17" s="95">
        <f t="shared" si="6"/>
        <v>45133</v>
      </c>
      <c r="H17" s="85" t="str">
        <f t="shared" si="3"/>
        <v/>
      </c>
      <c r="I17" s="85" t="str">
        <f t="shared" si="3"/>
        <v/>
      </c>
      <c r="J17" s="85" t="str">
        <f t="shared" si="3"/>
        <v/>
      </c>
      <c r="K17" s="85" t="str">
        <f t="shared" si="3"/>
        <v/>
      </c>
      <c r="L17" s="85" t="str">
        <f t="shared" si="3"/>
        <v/>
      </c>
      <c r="M17" s="85" t="str">
        <f t="shared" si="3"/>
        <v/>
      </c>
      <c r="N17" s="85" t="str">
        <f t="shared" si="3"/>
        <v/>
      </c>
      <c r="O17" s="85" t="str">
        <f t="shared" si="3"/>
        <v/>
      </c>
      <c r="P17" s="85" t="str">
        <f t="shared" si="3"/>
        <v/>
      </c>
      <c r="Q17" s="85" t="str">
        <f t="shared" si="3"/>
        <v/>
      </c>
      <c r="R17" s="85" t="str">
        <f t="shared" si="3"/>
        <v/>
      </c>
      <c r="S17" s="85" t="str">
        <f t="shared" si="3"/>
        <v/>
      </c>
      <c r="T17" s="85" t="str">
        <f t="shared" si="3"/>
        <v/>
      </c>
      <c r="U17" s="85" t="str">
        <f t="shared" si="3"/>
        <v/>
      </c>
      <c r="V17" s="85" t="str">
        <f t="shared" si="3"/>
        <v/>
      </c>
      <c r="W17" s="85" t="str">
        <f t="shared" si="3"/>
        <v/>
      </c>
      <c r="X17" s="85" t="str">
        <f t="shared" si="4"/>
        <v/>
      </c>
      <c r="Y17" s="85" t="str">
        <f t="shared" si="4"/>
        <v/>
      </c>
      <c r="Z17" s="85" t="str">
        <f t="shared" si="4"/>
        <v/>
      </c>
      <c r="AA17" s="85" t="str">
        <f t="shared" si="4"/>
        <v/>
      </c>
      <c r="AB17" s="85" t="str">
        <f t="shared" si="4"/>
        <v/>
      </c>
      <c r="AC17" s="85" t="str">
        <f t="shared" si="4"/>
        <v/>
      </c>
      <c r="AD17" s="85" t="str">
        <f t="shared" si="4"/>
        <v>A</v>
      </c>
      <c r="AE17" s="85" t="str">
        <f t="shared" si="4"/>
        <v>A</v>
      </c>
      <c r="AF17" s="85" t="str">
        <f t="shared" si="4"/>
        <v>A</v>
      </c>
      <c r="AG17" s="85" t="str">
        <f t="shared" si="4"/>
        <v>A</v>
      </c>
      <c r="AH17" s="85" t="str">
        <f t="shared" si="4"/>
        <v/>
      </c>
      <c r="AI17" s="85" t="str">
        <f t="shared" si="4"/>
        <v/>
      </c>
      <c r="AJ17" s="85" t="str">
        <f t="shared" si="4"/>
        <v/>
      </c>
      <c r="AK17" s="85" t="str">
        <f t="shared" si="4"/>
        <v/>
      </c>
      <c r="AL17" s="85" t="str">
        <f t="shared" si="4"/>
        <v/>
      </c>
      <c r="AM17" s="85" t="str">
        <f t="shared" si="4"/>
        <v/>
      </c>
    </row>
    <row r="18" spans="3:39" ht="30" x14ac:dyDescent="0.25">
      <c r="C18" s="99">
        <f t="shared" si="7"/>
        <v>11</v>
      </c>
      <c r="D18" s="100" t="s">
        <v>1791</v>
      </c>
      <c r="E18" s="101">
        <v>3</v>
      </c>
      <c r="F18" s="102">
        <f t="shared" si="5"/>
        <v>45134</v>
      </c>
      <c r="G18" s="103">
        <f t="shared" si="6"/>
        <v>45136</v>
      </c>
      <c r="H18" s="85" t="str">
        <f t="shared" si="3"/>
        <v/>
      </c>
      <c r="I18" s="85" t="str">
        <f t="shared" si="3"/>
        <v/>
      </c>
      <c r="J18" s="85" t="str">
        <f t="shared" si="3"/>
        <v/>
      </c>
      <c r="K18" s="85" t="str">
        <f t="shared" si="3"/>
        <v/>
      </c>
      <c r="L18" s="85" t="str">
        <f t="shared" si="3"/>
        <v/>
      </c>
      <c r="M18" s="85" t="str">
        <f t="shared" si="3"/>
        <v/>
      </c>
      <c r="N18" s="85" t="str">
        <f t="shared" si="3"/>
        <v/>
      </c>
      <c r="O18" s="85" t="str">
        <f t="shared" si="3"/>
        <v/>
      </c>
      <c r="P18" s="85" t="str">
        <f t="shared" si="3"/>
        <v/>
      </c>
      <c r="Q18" s="85" t="str">
        <f t="shared" si="3"/>
        <v/>
      </c>
      <c r="R18" s="85" t="str">
        <f t="shared" si="3"/>
        <v/>
      </c>
      <c r="S18" s="85" t="str">
        <f t="shared" si="3"/>
        <v/>
      </c>
      <c r="T18" s="85" t="str">
        <f t="shared" si="3"/>
        <v/>
      </c>
      <c r="U18" s="85" t="str">
        <f t="shared" si="3"/>
        <v/>
      </c>
      <c r="V18" s="85" t="str">
        <f t="shared" si="3"/>
        <v/>
      </c>
      <c r="W18" s="85" t="str">
        <f t="shared" si="3"/>
        <v/>
      </c>
      <c r="X18" s="85" t="str">
        <f t="shared" si="4"/>
        <v/>
      </c>
      <c r="Y18" s="85" t="str">
        <f t="shared" si="4"/>
        <v/>
      </c>
      <c r="Z18" s="85" t="str">
        <f t="shared" si="4"/>
        <v/>
      </c>
      <c r="AA18" s="85" t="str">
        <f t="shared" si="4"/>
        <v/>
      </c>
      <c r="AB18" s="85" t="str">
        <f t="shared" si="4"/>
        <v/>
      </c>
      <c r="AC18" s="85" t="str">
        <f t="shared" si="4"/>
        <v/>
      </c>
      <c r="AD18" s="85" t="str">
        <f t="shared" si="4"/>
        <v/>
      </c>
      <c r="AE18" s="85" t="str">
        <f t="shared" si="4"/>
        <v/>
      </c>
      <c r="AF18" s="85" t="str">
        <f t="shared" si="4"/>
        <v/>
      </c>
      <c r="AG18" s="85" t="str">
        <f t="shared" si="4"/>
        <v/>
      </c>
      <c r="AH18" s="85" t="str">
        <f t="shared" si="4"/>
        <v>A</v>
      </c>
      <c r="AI18" s="85" t="str">
        <f t="shared" si="4"/>
        <v>A</v>
      </c>
      <c r="AJ18" s="85" t="str">
        <f t="shared" si="4"/>
        <v>A</v>
      </c>
      <c r="AK18" s="85" t="str">
        <f t="shared" si="4"/>
        <v/>
      </c>
      <c r="AL18" s="85" t="str">
        <f t="shared" si="4"/>
        <v/>
      </c>
      <c r="AM18" s="85" t="str">
        <f t="shared" si="4"/>
        <v/>
      </c>
    </row>
    <row r="19" spans="3:39" ht="45" x14ac:dyDescent="0.25">
      <c r="C19" s="99">
        <f t="shared" si="7"/>
        <v>12</v>
      </c>
      <c r="D19" s="86" t="s">
        <v>1798</v>
      </c>
      <c r="E19" s="87">
        <v>2</v>
      </c>
      <c r="F19" s="88">
        <f>G18+1</f>
        <v>45137</v>
      </c>
      <c r="G19" s="95">
        <f>F19+E19-1</f>
        <v>45138</v>
      </c>
      <c r="H19" s="85" t="str">
        <f>IF(AND(H$8&gt;=$F19,H$8&lt;=$G19),"A","")</f>
        <v/>
      </c>
      <c r="I19" s="85" t="str">
        <f t="shared" si="3"/>
        <v/>
      </c>
      <c r="J19" s="85" t="str">
        <f t="shared" si="3"/>
        <v/>
      </c>
      <c r="K19" s="85" t="str">
        <f t="shared" si="3"/>
        <v/>
      </c>
      <c r="L19" s="85" t="str">
        <f t="shared" si="3"/>
        <v/>
      </c>
      <c r="M19" s="85" t="str">
        <f t="shared" si="3"/>
        <v/>
      </c>
      <c r="N19" s="85" t="str">
        <f t="shared" si="3"/>
        <v/>
      </c>
      <c r="O19" s="85" t="str">
        <f t="shared" si="3"/>
        <v/>
      </c>
      <c r="P19" s="85" t="str">
        <f t="shared" si="3"/>
        <v/>
      </c>
      <c r="Q19" s="85" t="str">
        <f t="shared" si="3"/>
        <v/>
      </c>
      <c r="R19" s="85" t="str">
        <f t="shared" si="3"/>
        <v/>
      </c>
      <c r="S19" s="85" t="str">
        <f t="shared" si="3"/>
        <v/>
      </c>
      <c r="T19" s="85" t="str">
        <f t="shared" si="3"/>
        <v/>
      </c>
      <c r="U19" s="85" t="str">
        <f t="shared" si="3"/>
        <v/>
      </c>
      <c r="V19" s="85" t="str">
        <f t="shared" si="3"/>
        <v/>
      </c>
      <c r="W19" s="85" t="str">
        <f t="shared" si="3"/>
        <v/>
      </c>
      <c r="X19" s="85" t="str">
        <f t="shared" si="4"/>
        <v/>
      </c>
      <c r="Y19" s="85" t="str">
        <f t="shared" si="4"/>
        <v/>
      </c>
      <c r="Z19" s="85" t="str">
        <f t="shared" si="4"/>
        <v/>
      </c>
      <c r="AA19" s="85" t="str">
        <f t="shared" si="4"/>
        <v/>
      </c>
      <c r="AB19" s="85" t="str">
        <f t="shared" si="4"/>
        <v/>
      </c>
      <c r="AC19" s="85" t="str">
        <f t="shared" si="4"/>
        <v/>
      </c>
      <c r="AD19" s="85" t="str">
        <f t="shared" si="4"/>
        <v/>
      </c>
      <c r="AE19" s="85" t="str">
        <f t="shared" si="4"/>
        <v/>
      </c>
      <c r="AF19" s="85" t="str">
        <f t="shared" si="4"/>
        <v/>
      </c>
      <c r="AG19" s="85" t="str">
        <f t="shared" si="4"/>
        <v/>
      </c>
      <c r="AH19" s="85" t="str">
        <f t="shared" si="4"/>
        <v/>
      </c>
      <c r="AI19" s="85" t="str">
        <f t="shared" si="4"/>
        <v/>
      </c>
      <c r="AJ19" s="85" t="str">
        <f t="shared" si="4"/>
        <v/>
      </c>
      <c r="AK19" s="85" t="str">
        <f t="shared" si="4"/>
        <v>A</v>
      </c>
      <c r="AL19" s="85" t="str">
        <f t="shared" si="4"/>
        <v>A</v>
      </c>
      <c r="AM19" s="85" t="str">
        <f t="shared" si="4"/>
        <v/>
      </c>
    </row>
  </sheetData>
  <mergeCells count="1">
    <mergeCell ref="H6:AM6"/>
  </mergeCells>
  <conditionalFormatting sqref="H9:AM19">
    <cfRule type="containsText" dxfId="135" priority="1" operator="containsText" text="A">
      <formula>NOT(ISERROR(SEARCH("A",H9)))</formula>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041CF-62B8-4372-AEC0-4157D2903D0A}">
  <sheetPr codeName="Sheet1">
    <tabColor rgb="FFC00000"/>
  </sheetPr>
  <dimension ref="A2:P622"/>
  <sheetViews>
    <sheetView showGridLines="0" topLeftCell="A34" zoomScale="85" zoomScaleNormal="85" workbookViewId="0">
      <selection activeCell="D45" sqref="D45"/>
    </sheetView>
  </sheetViews>
  <sheetFormatPr defaultRowHeight="15" x14ac:dyDescent="0.25"/>
  <cols>
    <col min="1" max="1" width="16.5703125" bestFit="1" customWidth="1"/>
    <col min="2" max="2" width="14.28515625" customWidth="1"/>
    <col min="3" max="3" width="7.28515625" customWidth="1"/>
    <col min="4" max="4" width="23.28515625" bestFit="1" customWidth="1"/>
    <col min="5" max="5" width="25.28515625" bestFit="1" customWidth="1"/>
    <col min="6" max="6" width="21" bestFit="1" customWidth="1"/>
    <col min="7" max="7" width="22.85546875" bestFit="1" customWidth="1"/>
    <col min="8" max="8" width="22.85546875" customWidth="1"/>
    <col min="9" max="9" width="21.140625" customWidth="1"/>
    <col min="10" max="16" width="9.140625" customWidth="1"/>
  </cols>
  <sheetData>
    <row r="2" spans="3:9" ht="15.75" thickBot="1" x14ac:dyDescent="0.3"/>
    <row r="3" spans="3:9" ht="16.5" thickTop="1" thickBot="1" x14ac:dyDescent="0.3">
      <c r="D3" s="114" t="s">
        <v>1800</v>
      </c>
    </row>
    <row r="4" spans="3:9" ht="15.75" thickTop="1" x14ac:dyDescent="0.25"/>
    <row r="8" spans="3:9" ht="18" customHeight="1" x14ac:dyDescent="0.25">
      <c r="G8" s="115" t="s">
        <v>1799</v>
      </c>
      <c r="H8" s="115"/>
      <c r="I8" s="117" t="s">
        <v>1824</v>
      </c>
    </row>
    <row r="9" spans="3:9" x14ac:dyDescent="0.25">
      <c r="G9" s="115" t="s">
        <v>1812</v>
      </c>
      <c r="H9" s="115"/>
      <c r="I9" s="116">
        <f>VLOOKUP("*"&amp;G9&amp;"*",Sheet8!$A$1:$M$12,MATCH('DATA ENTRY FORM'!$D$3,Sheet8!$A$1:$M$1,0),0)</f>
        <v>921</v>
      </c>
    </row>
    <row r="10" spans="3:9" x14ac:dyDescent="0.25">
      <c r="C10" s="17"/>
      <c r="D10" s="17"/>
      <c r="G10" s="115" t="s">
        <v>1813</v>
      </c>
      <c r="H10" s="115"/>
      <c r="I10" s="116">
        <f>VLOOKUP("*"&amp;G10&amp;"*",Sheet8!$A$1:$M$12,MATCH('DATA ENTRY FORM'!$D$3,Sheet8!$A$1:$M$1,0),0)</f>
        <v>601</v>
      </c>
    </row>
    <row r="11" spans="3:9" x14ac:dyDescent="0.25">
      <c r="G11" s="115" t="s">
        <v>1814</v>
      </c>
      <c r="H11" s="115"/>
      <c r="I11" s="116">
        <f>VLOOKUP("*"&amp;G11&amp;"*",Sheet8!$A$1:$M$12,MATCH('DATA ENTRY FORM'!$D$3,Sheet8!$A$1:$M$1,0),0)</f>
        <v>947</v>
      </c>
    </row>
    <row r="12" spans="3:9" x14ac:dyDescent="0.25">
      <c r="G12" s="115" t="s">
        <v>1815</v>
      </c>
      <c r="H12" s="115"/>
      <c r="I12" s="116">
        <f>VLOOKUP("*"&amp;G12&amp;"*",Sheet8!$A$1:$M$12,MATCH('DATA ENTRY FORM'!$D$3,Sheet8!$A$1:$M$1,0),0)</f>
        <v>481</v>
      </c>
    </row>
    <row r="13" spans="3:9" x14ac:dyDescent="0.25">
      <c r="G13" s="115" t="s">
        <v>1816</v>
      </c>
      <c r="H13" s="115"/>
      <c r="I13" s="116">
        <f>VLOOKUP("*"&amp;G13&amp;"*",Sheet8!$A$1:$M$12,MATCH('DATA ENTRY FORM'!$D$3,Sheet8!$A$1:$M$1,0),0)</f>
        <v>370</v>
      </c>
    </row>
    <row r="14" spans="3:9" x14ac:dyDescent="0.25">
      <c r="G14" s="115" t="s">
        <v>1817</v>
      </c>
      <c r="H14" s="115"/>
      <c r="I14" s="116">
        <f>VLOOKUP("*"&amp;G14&amp;"*",Sheet8!$A$1:$M$12,MATCH('DATA ENTRY FORM'!$D$3,Sheet8!$A$1:$M$1,0),0)</f>
        <v>128</v>
      </c>
    </row>
    <row r="15" spans="3:9" x14ac:dyDescent="0.25">
      <c r="G15" s="115" t="s">
        <v>1818</v>
      </c>
      <c r="H15" s="115"/>
      <c r="I15" s="116">
        <f>VLOOKUP("*"&amp;G15&amp;"*",Sheet8!$A$1:$M$12,MATCH('DATA ENTRY FORM'!$D$3,Sheet8!$A$1:$M$1,0),0)</f>
        <v>540</v>
      </c>
    </row>
    <row r="16" spans="3:9" x14ac:dyDescent="0.25">
      <c r="G16" s="115" t="s">
        <v>1819</v>
      </c>
      <c r="H16" s="115"/>
      <c r="I16" s="116">
        <f>VLOOKUP("*"&amp;G16&amp;"*",Sheet8!$A$1:$M$12,MATCH('DATA ENTRY FORM'!$D$3,Sheet8!$A$1:$M$1,0),0)</f>
        <v>370</v>
      </c>
    </row>
    <row r="17" spans="1:9" x14ac:dyDescent="0.25">
      <c r="G17" s="115" t="s">
        <v>1820</v>
      </c>
      <c r="H17" s="115"/>
      <c r="I17" s="116">
        <f>VLOOKUP("*"&amp;G17&amp;"*",Sheet8!$A$1:$M$12,MATCH('DATA ENTRY FORM'!$D$3,Sheet8!$A$1:$M$1,0),0)</f>
        <v>288</v>
      </c>
    </row>
    <row r="18" spans="1:9" x14ac:dyDescent="0.25">
      <c r="G18" s="115" t="s">
        <v>1821</v>
      </c>
      <c r="H18" s="115"/>
      <c r="I18" s="116">
        <f>VLOOKUP("*"&amp;G18&amp;"*",Sheet8!$A$1:$M$12,MATCH('DATA ENTRY FORM'!$D$3,Sheet8!$A$1:$M$1,0),0)</f>
        <v>458</v>
      </c>
    </row>
    <row r="19" spans="1:9" x14ac:dyDescent="0.25">
      <c r="G19" s="115" t="s">
        <v>1825</v>
      </c>
      <c r="H19" s="115"/>
      <c r="I19" s="116">
        <f>VLOOKUP("*"&amp;G19&amp;"*",Sheet8!$A$1:$M$12,MATCH('DATA ENTRY FORM'!$D$3,Sheet8!$A$1:$M$1,0),0)</f>
        <v>385</v>
      </c>
    </row>
    <row r="21" spans="1:9" x14ac:dyDescent="0.25">
      <c r="A21" s="118" t="s">
        <v>1799</v>
      </c>
      <c r="B21" s="119" t="s">
        <v>1826</v>
      </c>
      <c r="C21" s="119" t="s">
        <v>1827</v>
      </c>
      <c r="D21" s="119" t="str">
        <f>"SALES REPORT FOR"&amp;" "&amp;B21</f>
        <v>SALES REPORT FOR PIZZA</v>
      </c>
      <c r="E21" s="119" t="str">
        <f>"SALES REPORT FOR"&amp;" "&amp;C21</f>
        <v>SALES REPORT FOR BURGER</v>
      </c>
    </row>
    <row r="22" spans="1:9" x14ac:dyDescent="0.25">
      <c r="A22" s="118" t="s">
        <v>1812</v>
      </c>
      <c r="B22" s="85">
        <v>34</v>
      </c>
      <c r="C22" s="85">
        <v>35</v>
      </c>
      <c r="D22" s="120" t="str">
        <f>REPT("|",B22)</f>
        <v>||||||||||||||||||||||||||||||||||</v>
      </c>
      <c r="E22" s="121" t="str">
        <f>REPT("|",C22)</f>
        <v>|||||||||||||||||||||||||||||||||||</v>
      </c>
    </row>
    <row r="23" spans="1:9" x14ac:dyDescent="0.25">
      <c r="A23" s="118" t="s">
        <v>1813</v>
      </c>
      <c r="B23" s="85">
        <v>34</v>
      </c>
      <c r="C23" s="85">
        <v>46</v>
      </c>
      <c r="D23" s="120" t="str">
        <f t="shared" ref="D23:D32" si="0">REPT("|",B23)</f>
        <v>||||||||||||||||||||||||||||||||||</v>
      </c>
      <c r="E23" s="121" t="str">
        <f t="shared" ref="E23:E32" si="1">REPT("|",C23)</f>
        <v>||||||||||||||||||||||||||||||||||||||||||||||</v>
      </c>
    </row>
    <row r="24" spans="1:9" x14ac:dyDescent="0.25">
      <c r="A24" s="118" t="s">
        <v>1814</v>
      </c>
      <c r="B24" s="85">
        <v>45</v>
      </c>
      <c r="C24" s="85">
        <v>57</v>
      </c>
      <c r="D24" s="120" t="str">
        <f t="shared" si="0"/>
        <v>|||||||||||||||||||||||||||||||||||||||||||||</v>
      </c>
      <c r="E24" s="121" t="str">
        <f t="shared" si="1"/>
        <v>|||||||||||||||||||||||||||||||||||||||||||||||||||||||||</v>
      </c>
    </row>
    <row r="25" spans="1:9" x14ac:dyDescent="0.25">
      <c r="A25" s="118" t="s">
        <v>1815</v>
      </c>
      <c r="B25" s="85">
        <v>56</v>
      </c>
      <c r="C25" s="85">
        <v>78</v>
      </c>
      <c r="D25" s="120" t="str">
        <f t="shared" si="0"/>
        <v>||||||||||||||||||||||||||||||||||||||||||||||||||||||||</v>
      </c>
      <c r="E25" s="121" t="str">
        <f t="shared" si="1"/>
        <v>||||||||||||||||||||||||||||||||||||||||||||||||||||||||||||||||||||||||||||||</v>
      </c>
    </row>
    <row r="26" spans="1:9" x14ac:dyDescent="0.25">
      <c r="A26" s="118" t="s">
        <v>1816</v>
      </c>
      <c r="B26" s="85">
        <v>23</v>
      </c>
      <c r="C26" s="85">
        <v>28</v>
      </c>
      <c r="D26" s="120" t="str">
        <f t="shared" si="0"/>
        <v>|||||||||||||||||||||||</v>
      </c>
      <c r="E26" s="121" t="str">
        <f t="shared" si="1"/>
        <v>||||||||||||||||||||||||||||</v>
      </c>
    </row>
    <row r="27" spans="1:9" x14ac:dyDescent="0.25">
      <c r="A27" s="118" t="s">
        <v>1817</v>
      </c>
      <c r="B27" s="85">
        <v>35</v>
      </c>
      <c r="C27" s="85">
        <v>89</v>
      </c>
      <c r="D27" s="120" t="str">
        <f t="shared" si="0"/>
        <v>|||||||||||||||||||||||||||||||||||</v>
      </c>
      <c r="E27" s="121" t="str">
        <f t="shared" si="1"/>
        <v>|||||||||||||||||||||||||||||||||||||||||||||||||||||||||||||||||||||||||||||||||||||||||</v>
      </c>
    </row>
    <row r="28" spans="1:9" x14ac:dyDescent="0.25">
      <c r="A28" s="118" t="s">
        <v>1818</v>
      </c>
      <c r="B28" s="85">
        <v>46</v>
      </c>
      <c r="C28" s="85">
        <v>56</v>
      </c>
      <c r="D28" s="120" t="str">
        <f t="shared" si="0"/>
        <v>||||||||||||||||||||||||||||||||||||||||||||||</v>
      </c>
      <c r="E28" s="121" t="str">
        <f t="shared" si="1"/>
        <v>||||||||||||||||||||||||||||||||||||||||||||||||||||||||</v>
      </c>
    </row>
    <row r="29" spans="1:9" x14ac:dyDescent="0.25">
      <c r="A29" s="118" t="s">
        <v>1819</v>
      </c>
      <c r="B29" s="85">
        <v>47</v>
      </c>
      <c r="C29" s="85">
        <v>50</v>
      </c>
      <c r="D29" s="120" t="str">
        <f t="shared" si="0"/>
        <v>|||||||||||||||||||||||||||||||||||||||||||||||</v>
      </c>
      <c r="E29" s="121" t="str">
        <f t="shared" si="1"/>
        <v>||||||||||||||||||||||||||||||||||||||||||||||||||</v>
      </c>
    </row>
    <row r="30" spans="1:9" x14ac:dyDescent="0.25">
      <c r="A30" s="118" t="s">
        <v>1820</v>
      </c>
      <c r="B30" s="85">
        <v>56</v>
      </c>
      <c r="C30" s="85">
        <v>54</v>
      </c>
      <c r="D30" s="120" t="str">
        <f t="shared" si="0"/>
        <v>||||||||||||||||||||||||||||||||||||||||||||||||||||||||</v>
      </c>
      <c r="E30" s="121" t="str">
        <f t="shared" si="1"/>
        <v>||||||||||||||||||||||||||||||||||||||||||||||||||||||</v>
      </c>
    </row>
    <row r="31" spans="1:9" x14ac:dyDescent="0.25">
      <c r="A31" s="118" t="s">
        <v>1821</v>
      </c>
      <c r="B31" s="85">
        <v>28</v>
      </c>
      <c r="C31" s="85">
        <v>35</v>
      </c>
      <c r="D31" s="120" t="str">
        <f t="shared" si="0"/>
        <v>||||||||||||||||||||||||||||</v>
      </c>
      <c r="E31" s="121" t="str">
        <f t="shared" si="1"/>
        <v>|||||||||||||||||||||||||||||||||||</v>
      </c>
    </row>
    <row r="32" spans="1:9" x14ac:dyDescent="0.25">
      <c r="A32" s="118" t="s">
        <v>1825</v>
      </c>
      <c r="B32" s="85">
        <v>59</v>
      </c>
      <c r="C32" s="85">
        <v>67</v>
      </c>
      <c r="D32" s="120" t="str">
        <f t="shared" si="0"/>
        <v>|||||||||||||||||||||||||||||||||||||||||||||||||||||||||||</v>
      </c>
      <c r="E32" s="121" t="str">
        <f t="shared" si="1"/>
        <v>|||||||||||||||||||||||||||||||||||||||||||||||||||||||||||||||||||</v>
      </c>
    </row>
    <row r="37" spans="2:16" x14ac:dyDescent="0.25">
      <c r="C37" s="19"/>
      <c r="D37" s="19"/>
      <c r="E37" s="19"/>
      <c r="F37" s="19"/>
    </row>
    <row r="38" spans="2:16" s="137" customFormat="1" ht="15" customHeight="1" x14ac:dyDescent="0.25">
      <c r="B38" s="137" t="s">
        <v>1828</v>
      </c>
      <c r="C38" s="138" t="s">
        <v>1829</v>
      </c>
      <c r="D38" s="138" t="s">
        <v>1830</v>
      </c>
      <c r="E38" s="138" t="s">
        <v>1831</v>
      </c>
      <c r="F38" s="138" t="s">
        <v>1832</v>
      </c>
      <c r="G38" s="137" t="s">
        <v>1833</v>
      </c>
      <c r="H38" s="137" t="s">
        <v>1834</v>
      </c>
      <c r="I38" s="137" t="s">
        <v>1835</v>
      </c>
      <c r="J38" s="137" t="s">
        <v>1836</v>
      </c>
      <c r="K38" s="137" t="s">
        <v>1766</v>
      </c>
      <c r="L38" s="137" t="s">
        <v>1837</v>
      </c>
    </row>
    <row r="39" spans="2:16" s="137" customFormat="1" ht="15" customHeight="1" x14ac:dyDescent="0.25">
      <c r="C39" s="138"/>
      <c r="D39" s="138" t="str">
        <f>IF(N39=1,"Male","Female")</f>
        <v>Male</v>
      </c>
      <c r="E39" s="138"/>
      <c r="F39" s="138"/>
      <c r="G39" s="137" t="str">
        <f>CHOOSE(O39,J51,J52,J53,J54,J55,J56,J57,J58)</f>
        <v>GRADUATE(HONS.)</v>
      </c>
      <c r="H39" s="137" t="str">
        <f>CHOOSE(P39,L51,L52,L53,L54,L55,L56,L57)</f>
        <v>FRESHER</v>
      </c>
      <c r="I39" s="137" t="str">
        <f>CHOOSE(N40,N51,N52,N53,N54,N55,N56)</f>
        <v>UNMARRIED(SINGLE)</v>
      </c>
      <c r="J39" s="137" t="str">
        <f>VLOOKUP(O40,H47:I622,2,0)</f>
        <v>কলকাতা</v>
      </c>
      <c r="K39" s="137" t="str">
        <f>CHOOSE(P40,P47,P48,P49,P50,P51,P52,P53,P54,P55,P56,P57,P58,P59,P60,P61,P62,P63,P64,P65,P66,P67,P68,P69,P70,P71,P72,P73,P74,P75,P76,P77,P78,P79,P80,P81,P82,P83)</f>
        <v>West Bengal</v>
      </c>
      <c r="N39" s="137">
        <v>1</v>
      </c>
      <c r="O39" s="137">
        <v>3</v>
      </c>
      <c r="P39" s="137">
        <v>1</v>
      </c>
    </row>
    <row r="40" spans="2:16" x14ac:dyDescent="0.25">
      <c r="C40" s="19"/>
      <c r="D40" s="19"/>
      <c r="E40" s="19"/>
      <c r="F40" s="19"/>
      <c r="N40" s="135">
        <v>1</v>
      </c>
      <c r="O40" s="135">
        <v>560</v>
      </c>
      <c r="P40" s="135">
        <v>37</v>
      </c>
    </row>
    <row r="41" spans="2:16" ht="15.75" thickBot="1" x14ac:dyDescent="0.3">
      <c r="C41" s="19"/>
      <c r="D41" s="19"/>
      <c r="E41" s="19"/>
      <c r="F41" s="19"/>
    </row>
    <row r="42" spans="2:16" x14ac:dyDescent="0.25">
      <c r="C42" s="122"/>
      <c r="D42" s="123"/>
      <c r="E42" s="123"/>
      <c r="F42" s="124"/>
    </row>
    <row r="43" spans="2:16" x14ac:dyDescent="0.25">
      <c r="C43" s="125"/>
      <c r="D43" s="127"/>
      <c r="E43" s="127"/>
      <c r="F43" s="128"/>
    </row>
    <row r="44" spans="2:16" x14ac:dyDescent="0.25">
      <c r="C44" s="125"/>
      <c r="D44" s="127"/>
      <c r="E44" s="127"/>
      <c r="F44" s="128"/>
    </row>
    <row r="45" spans="2:16" x14ac:dyDescent="0.25">
      <c r="C45" s="125"/>
      <c r="D45" s="126" t="s">
        <v>1828</v>
      </c>
      <c r="E45" s="127"/>
      <c r="F45" s="128"/>
    </row>
    <row r="46" spans="2:16" ht="6.75" customHeight="1" x14ac:dyDescent="0.25">
      <c r="C46" s="125"/>
      <c r="D46" s="127"/>
      <c r="E46" s="127"/>
      <c r="F46" s="128"/>
    </row>
    <row r="47" spans="2:16" x14ac:dyDescent="0.25">
      <c r="C47" s="125"/>
      <c r="D47" s="126" t="s">
        <v>1829</v>
      </c>
      <c r="E47" s="127"/>
      <c r="F47" s="128"/>
      <c r="H47" s="72">
        <v>1</v>
      </c>
      <c r="I47" s="132" t="s">
        <v>1857</v>
      </c>
      <c r="P47" s="135" t="s">
        <v>2393</v>
      </c>
    </row>
    <row r="48" spans="2:16" ht="6.75" customHeight="1" x14ac:dyDescent="0.25">
      <c r="C48" s="125"/>
      <c r="D48" s="127"/>
      <c r="E48" s="127"/>
      <c r="F48" s="128"/>
      <c r="H48" s="72">
        <v>2</v>
      </c>
      <c r="I48" s="132" t="s">
        <v>1858</v>
      </c>
      <c r="P48" s="135" t="s">
        <v>2394</v>
      </c>
    </row>
    <row r="49" spans="3:16" x14ac:dyDescent="0.25">
      <c r="C49" s="125"/>
      <c r="D49" s="126" t="s">
        <v>1830</v>
      </c>
      <c r="E49" s="127"/>
      <c r="F49" s="128"/>
      <c r="H49" s="72">
        <v>3</v>
      </c>
      <c r="I49" s="133"/>
      <c r="P49" s="135" t="s">
        <v>2395</v>
      </c>
    </row>
    <row r="50" spans="3:16" ht="6.75" customHeight="1" x14ac:dyDescent="0.25">
      <c r="C50" s="125"/>
      <c r="D50" s="127"/>
      <c r="E50" s="127"/>
      <c r="F50" s="128"/>
      <c r="H50" s="72">
        <v>4</v>
      </c>
      <c r="I50" s="132" t="s">
        <v>1859</v>
      </c>
      <c r="P50" s="135" t="s">
        <v>2396</v>
      </c>
    </row>
    <row r="51" spans="3:16" ht="17.25" x14ac:dyDescent="0.25">
      <c r="C51" s="125"/>
      <c r="D51" s="126" t="s">
        <v>1831</v>
      </c>
      <c r="E51" s="127"/>
      <c r="F51" s="128"/>
      <c r="H51" s="72">
        <v>5</v>
      </c>
      <c r="I51" s="132" t="s">
        <v>1860</v>
      </c>
      <c r="J51" s="135" t="s">
        <v>2447</v>
      </c>
      <c r="L51" s="135" t="s">
        <v>1845</v>
      </c>
      <c r="M51" s="135"/>
      <c r="N51" s="135" t="s">
        <v>1852</v>
      </c>
      <c r="O51" s="135"/>
      <c r="P51" s="135" t="s">
        <v>2397</v>
      </c>
    </row>
    <row r="52" spans="3:16" ht="6.75" customHeight="1" x14ac:dyDescent="0.25">
      <c r="C52" s="125"/>
      <c r="D52" s="127"/>
      <c r="E52" s="127"/>
      <c r="F52" s="128"/>
      <c r="H52" s="72">
        <v>6</v>
      </c>
      <c r="I52" s="132" t="s">
        <v>1861</v>
      </c>
      <c r="J52" s="135" t="s">
        <v>1838</v>
      </c>
      <c r="L52" s="135" t="s">
        <v>1846</v>
      </c>
      <c r="M52" s="135"/>
      <c r="N52" s="135" t="s">
        <v>1853</v>
      </c>
      <c r="O52" s="135"/>
      <c r="P52" s="135" t="s">
        <v>2398</v>
      </c>
    </row>
    <row r="53" spans="3:16" x14ac:dyDescent="0.25">
      <c r="C53" s="125"/>
      <c r="D53" s="126" t="s">
        <v>1832</v>
      </c>
      <c r="E53" s="127"/>
      <c r="F53" s="128"/>
      <c r="H53" s="72">
        <v>7</v>
      </c>
      <c r="I53" s="132" t="s">
        <v>1862</v>
      </c>
      <c r="J53" s="135" t="s">
        <v>1839</v>
      </c>
      <c r="L53" s="135" t="s">
        <v>1847</v>
      </c>
      <c r="M53" s="135"/>
      <c r="N53" s="135" t="s">
        <v>1854</v>
      </c>
      <c r="O53" s="135"/>
      <c r="P53" s="135" t="s">
        <v>2399</v>
      </c>
    </row>
    <row r="54" spans="3:16" ht="6.75" customHeight="1" x14ac:dyDescent="0.25">
      <c r="C54" s="125"/>
      <c r="D54" s="127"/>
      <c r="E54" s="127"/>
      <c r="F54" s="128"/>
      <c r="H54" s="72">
        <v>8</v>
      </c>
      <c r="I54" s="132" t="s">
        <v>1863</v>
      </c>
      <c r="J54" s="135" t="s">
        <v>1840</v>
      </c>
      <c r="L54" s="135" t="s">
        <v>1848</v>
      </c>
      <c r="M54" s="135"/>
      <c r="N54" s="135" t="s">
        <v>1855</v>
      </c>
      <c r="O54" s="135"/>
      <c r="P54" s="135" t="s">
        <v>2400</v>
      </c>
    </row>
    <row r="55" spans="3:16" x14ac:dyDescent="0.25">
      <c r="C55" s="125"/>
      <c r="D55" s="126" t="s">
        <v>1833</v>
      </c>
      <c r="E55" s="127"/>
      <c r="F55" s="128"/>
      <c r="H55" s="72">
        <v>9</v>
      </c>
      <c r="I55" s="132" t="s">
        <v>1864</v>
      </c>
      <c r="J55" s="135" t="s">
        <v>1841</v>
      </c>
      <c r="L55" s="135" t="s">
        <v>1849</v>
      </c>
      <c r="M55" s="135"/>
      <c r="N55" s="135" t="s">
        <v>1856</v>
      </c>
      <c r="O55" s="135"/>
      <c r="P55" s="135" t="s">
        <v>2401</v>
      </c>
    </row>
    <row r="56" spans="3:16" ht="6.75" customHeight="1" x14ac:dyDescent="0.25">
      <c r="C56" s="125"/>
      <c r="D56" s="127"/>
      <c r="E56" s="127"/>
      <c r="F56" s="128"/>
      <c r="H56" s="72">
        <v>10</v>
      </c>
      <c r="I56" s="132" t="s">
        <v>1865</v>
      </c>
      <c r="J56" s="135" t="s">
        <v>1842</v>
      </c>
      <c r="L56" s="135" t="s">
        <v>1850</v>
      </c>
      <c r="M56" s="135"/>
      <c r="N56" s="135" t="s">
        <v>1844</v>
      </c>
      <c r="O56" s="135"/>
      <c r="P56" s="135" t="s">
        <v>2402</v>
      </c>
    </row>
    <row r="57" spans="3:16" x14ac:dyDescent="0.25">
      <c r="C57" s="125"/>
      <c r="D57" s="126" t="s">
        <v>1834</v>
      </c>
      <c r="E57" s="127"/>
      <c r="F57" s="128"/>
      <c r="H57" s="72">
        <v>11</v>
      </c>
      <c r="I57" s="132" t="s">
        <v>1866</v>
      </c>
      <c r="J57" s="135" t="s">
        <v>1843</v>
      </c>
      <c r="L57" s="135" t="s">
        <v>1851</v>
      </c>
      <c r="M57" s="135"/>
      <c r="N57" s="135"/>
      <c r="O57" s="135"/>
      <c r="P57" s="135" t="s">
        <v>2403</v>
      </c>
    </row>
    <row r="58" spans="3:16" ht="6.75" customHeight="1" x14ac:dyDescent="0.25">
      <c r="C58" s="125"/>
      <c r="D58" s="127"/>
      <c r="E58" s="127"/>
      <c r="F58" s="128"/>
      <c r="H58" s="72">
        <v>12</v>
      </c>
      <c r="I58" s="132" t="s">
        <v>1867</v>
      </c>
      <c r="J58" s="135" t="s">
        <v>1844</v>
      </c>
      <c r="P58" s="135" t="s">
        <v>2404</v>
      </c>
    </row>
    <row r="59" spans="3:16" x14ac:dyDescent="0.25">
      <c r="C59" s="125"/>
      <c r="D59" s="126" t="s">
        <v>1835</v>
      </c>
      <c r="E59" s="127"/>
      <c r="F59" s="128"/>
      <c r="H59" s="72">
        <v>13</v>
      </c>
      <c r="I59" s="132" t="s">
        <v>1868</v>
      </c>
      <c r="P59" s="135" t="s">
        <v>2405</v>
      </c>
    </row>
    <row r="60" spans="3:16" ht="6.75" customHeight="1" x14ac:dyDescent="0.25">
      <c r="C60" s="125"/>
      <c r="D60" s="127"/>
      <c r="E60" s="127"/>
      <c r="F60" s="128"/>
      <c r="H60" s="72">
        <v>14</v>
      </c>
      <c r="I60" s="132" t="s">
        <v>1869</v>
      </c>
      <c r="P60" s="135" t="s">
        <v>2406</v>
      </c>
    </row>
    <row r="61" spans="3:16" x14ac:dyDescent="0.25">
      <c r="C61" s="125"/>
      <c r="D61" s="126" t="s">
        <v>1836</v>
      </c>
      <c r="E61" s="127"/>
      <c r="F61" s="128"/>
      <c r="H61" s="72">
        <v>15</v>
      </c>
      <c r="I61" s="132" t="s">
        <v>1870</v>
      </c>
      <c r="P61" s="135" t="s">
        <v>2407</v>
      </c>
    </row>
    <row r="62" spans="3:16" ht="6.75" customHeight="1" x14ac:dyDescent="0.25">
      <c r="C62" s="125"/>
      <c r="D62" s="127"/>
      <c r="E62" s="127"/>
      <c r="F62" s="128"/>
      <c r="H62" s="72">
        <v>16</v>
      </c>
      <c r="I62" s="132" t="s">
        <v>1871</v>
      </c>
      <c r="P62" s="135" t="s">
        <v>2408</v>
      </c>
    </row>
    <row r="63" spans="3:16" x14ac:dyDescent="0.25">
      <c r="C63" s="125"/>
      <c r="D63" s="126" t="s">
        <v>1766</v>
      </c>
      <c r="E63" s="127"/>
      <c r="F63" s="128"/>
      <c r="H63" s="72">
        <v>17</v>
      </c>
      <c r="I63" s="132" t="s">
        <v>1872</v>
      </c>
      <c r="P63" s="135" t="s">
        <v>2409</v>
      </c>
    </row>
    <row r="64" spans="3:16" ht="6.75" customHeight="1" x14ac:dyDescent="0.25">
      <c r="C64" s="125"/>
      <c r="D64" s="127"/>
      <c r="E64" s="127"/>
      <c r="F64" s="128"/>
      <c r="H64" s="72">
        <v>18</v>
      </c>
      <c r="I64" s="132" t="s">
        <v>1873</v>
      </c>
      <c r="P64" s="135" t="s">
        <v>2410</v>
      </c>
    </row>
    <row r="65" spans="3:16" x14ac:dyDescent="0.25">
      <c r="C65" s="125"/>
      <c r="D65" s="126" t="s">
        <v>1837</v>
      </c>
      <c r="E65" s="127"/>
      <c r="F65" s="128"/>
      <c r="H65" s="72">
        <v>19</v>
      </c>
      <c r="I65" s="132" t="s">
        <v>1874</v>
      </c>
      <c r="P65" s="135" t="s">
        <v>2411</v>
      </c>
    </row>
    <row r="66" spans="3:16" x14ac:dyDescent="0.25">
      <c r="C66" s="125"/>
      <c r="D66" s="127"/>
      <c r="E66" s="127"/>
      <c r="F66" s="128"/>
      <c r="H66" s="72">
        <v>20</v>
      </c>
      <c r="I66" s="132" t="s">
        <v>1875</v>
      </c>
      <c r="P66" s="135" t="s">
        <v>2412</v>
      </c>
    </row>
    <row r="67" spans="3:16" x14ac:dyDescent="0.25">
      <c r="C67" s="125"/>
      <c r="D67" s="127"/>
      <c r="E67" s="127"/>
      <c r="F67" s="128"/>
      <c r="H67" s="72">
        <v>21</v>
      </c>
      <c r="I67" s="132" t="s">
        <v>1876</v>
      </c>
      <c r="P67" s="135" t="s">
        <v>2413</v>
      </c>
    </row>
    <row r="68" spans="3:16" x14ac:dyDescent="0.25">
      <c r="C68" s="125"/>
      <c r="D68" s="127"/>
      <c r="E68" s="127"/>
      <c r="F68" s="128"/>
      <c r="H68" s="72">
        <v>22</v>
      </c>
      <c r="I68" s="132" t="s">
        <v>1877</v>
      </c>
      <c r="P68" s="135" t="s">
        <v>2414</v>
      </c>
    </row>
    <row r="69" spans="3:16" ht="15.75" thickBot="1" x14ac:dyDescent="0.3">
      <c r="C69" s="129"/>
      <c r="D69" s="130"/>
      <c r="E69" s="130"/>
      <c r="F69" s="131"/>
      <c r="H69" s="72">
        <v>23</v>
      </c>
      <c r="I69" s="132" t="s">
        <v>1878</v>
      </c>
      <c r="P69" s="135" t="s">
        <v>2415</v>
      </c>
    </row>
    <row r="70" spans="3:16" x14ac:dyDescent="0.25">
      <c r="C70" s="19"/>
      <c r="D70" s="19"/>
      <c r="E70" s="19"/>
      <c r="F70" s="19"/>
      <c r="H70" s="72">
        <v>24</v>
      </c>
      <c r="I70" s="132" t="s">
        <v>1879</v>
      </c>
      <c r="P70" s="135" t="s">
        <v>2416</v>
      </c>
    </row>
    <row r="71" spans="3:16" x14ac:dyDescent="0.25">
      <c r="H71" s="72">
        <v>25</v>
      </c>
      <c r="I71" s="133"/>
      <c r="P71" s="135" t="s">
        <v>2417</v>
      </c>
    </row>
    <row r="72" spans="3:16" x14ac:dyDescent="0.25">
      <c r="H72" s="72">
        <v>26</v>
      </c>
      <c r="I72" s="132" t="s">
        <v>1880</v>
      </c>
      <c r="P72" s="135" t="s">
        <v>2418</v>
      </c>
    </row>
    <row r="73" spans="3:16" x14ac:dyDescent="0.25">
      <c r="H73" s="72">
        <v>27</v>
      </c>
      <c r="I73" s="132" t="s">
        <v>1881</v>
      </c>
      <c r="P73" s="135" t="s">
        <v>2419</v>
      </c>
    </row>
    <row r="74" spans="3:16" x14ac:dyDescent="0.25">
      <c r="H74" s="72">
        <v>28</v>
      </c>
      <c r="I74" s="133"/>
      <c r="P74" s="135" t="s">
        <v>2420</v>
      </c>
    </row>
    <row r="75" spans="3:16" x14ac:dyDescent="0.25">
      <c r="H75" s="72">
        <v>29</v>
      </c>
      <c r="I75" s="132" t="s">
        <v>1882</v>
      </c>
      <c r="P75" s="135" t="s">
        <v>2421</v>
      </c>
    </row>
    <row r="76" spans="3:16" x14ac:dyDescent="0.25">
      <c r="H76" s="72">
        <v>30</v>
      </c>
      <c r="I76" s="132" t="s">
        <v>1883</v>
      </c>
      <c r="P76" s="135" t="s">
        <v>2422</v>
      </c>
    </row>
    <row r="77" spans="3:16" x14ac:dyDescent="0.25">
      <c r="H77" s="72">
        <v>31</v>
      </c>
      <c r="I77" s="132" t="s">
        <v>1884</v>
      </c>
      <c r="P77" s="135" t="s">
        <v>2423</v>
      </c>
    </row>
    <row r="78" spans="3:16" x14ac:dyDescent="0.25">
      <c r="H78" s="72">
        <v>32</v>
      </c>
      <c r="I78" s="132" t="s">
        <v>1885</v>
      </c>
      <c r="P78" s="135" t="s">
        <v>2424</v>
      </c>
    </row>
    <row r="79" spans="3:16" x14ac:dyDescent="0.25">
      <c r="H79" s="72">
        <v>33</v>
      </c>
      <c r="I79" s="132" t="s">
        <v>1886</v>
      </c>
      <c r="P79" s="135" t="s">
        <v>2425</v>
      </c>
    </row>
    <row r="80" spans="3:16" x14ac:dyDescent="0.25">
      <c r="H80" s="72">
        <v>34</v>
      </c>
      <c r="I80" s="132" t="s">
        <v>1887</v>
      </c>
      <c r="P80" s="135" t="s">
        <v>2426</v>
      </c>
    </row>
    <row r="81" spans="8:16" x14ac:dyDescent="0.25">
      <c r="H81" s="72">
        <v>35</v>
      </c>
      <c r="I81" s="132" t="s">
        <v>1888</v>
      </c>
      <c r="P81" s="135" t="s">
        <v>2427</v>
      </c>
    </row>
    <row r="82" spans="8:16" x14ac:dyDescent="0.25">
      <c r="H82" s="72">
        <v>36</v>
      </c>
      <c r="I82" s="132" t="s">
        <v>1889</v>
      </c>
      <c r="P82" s="135" t="s">
        <v>2428</v>
      </c>
    </row>
    <row r="83" spans="8:16" x14ac:dyDescent="0.25">
      <c r="H83" s="72">
        <v>37</v>
      </c>
      <c r="I83" s="132" t="s">
        <v>1890</v>
      </c>
      <c r="P83" s="135" t="s">
        <v>2429</v>
      </c>
    </row>
    <row r="84" spans="8:16" x14ac:dyDescent="0.25">
      <c r="H84" s="72">
        <v>38</v>
      </c>
      <c r="I84" s="132" t="s">
        <v>1891</v>
      </c>
    </row>
    <row r="85" spans="8:16" x14ac:dyDescent="0.25">
      <c r="H85" s="72">
        <v>39</v>
      </c>
      <c r="I85" s="132" t="s">
        <v>1892</v>
      </c>
    </row>
    <row r="86" spans="8:16" x14ac:dyDescent="0.25">
      <c r="H86" s="72">
        <v>40</v>
      </c>
      <c r="I86" s="133"/>
    </row>
    <row r="87" spans="8:16" x14ac:dyDescent="0.25">
      <c r="H87" s="72">
        <v>41</v>
      </c>
      <c r="I87" s="132" t="s">
        <v>1893</v>
      </c>
    </row>
    <row r="88" spans="8:16" x14ac:dyDescent="0.25">
      <c r="H88" s="72">
        <v>42</v>
      </c>
      <c r="I88" s="132" t="s">
        <v>1894</v>
      </c>
    </row>
    <row r="89" spans="8:16" x14ac:dyDescent="0.25">
      <c r="H89" s="72">
        <v>43</v>
      </c>
      <c r="I89" s="132" t="s">
        <v>1895</v>
      </c>
    </row>
    <row r="90" spans="8:16" x14ac:dyDescent="0.25">
      <c r="H90" s="72">
        <v>44</v>
      </c>
      <c r="I90" s="132" t="s">
        <v>1896</v>
      </c>
    </row>
    <row r="91" spans="8:16" x14ac:dyDescent="0.25">
      <c r="H91" s="72">
        <v>45</v>
      </c>
      <c r="I91" s="132" t="s">
        <v>1897</v>
      </c>
    </row>
    <row r="92" spans="8:16" x14ac:dyDescent="0.25">
      <c r="H92" s="72">
        <v>46</v>
      </c>
      <c r="I92" s="132" t="s">
        <v>1898</v>
      </c>
    </row>
    <row r="93" spans="8:16" x14ac:dyDescent="0.25">
      <c r="H93" s="72">
        <v>47</v>
      </c>
      <c r="I93" s="132" t="s">
        <v>1899</v>
      </c>
    </row>
    <row r="94" spans="8:16" x14ac:dyDescent="0.25">
      <c r="H94" s="72">
        <v>48</v>
      </c>
      <c r="I94" s="132" t="s">
        <v>1900</v>
      </c>
    </row>
    <row r="95" spans="8:16" x14ac:dyDescent="0.25">
      <c r="H95" s="72">
        <v>49</v>
      </c>
      <c r="I95" s="132" t="s">
        <v>1901</v>
      </c>
    </row>
    <row r="96" spans="8:16" x14ac:dyDescent="0.25">
      <c r="H96" s="72">
        <v>50</v>
      </c>
      <c r="I96" s="132" t="s">
        <v>1902</v>
      </c>
    </row>
    <row r="97" spans="8:9" x14ac:dyDescent="0.25">
      <c r="H97" s="72">
        <v>51</v>
      </c>
      <c r="I97" s="132" t="s">
        <v>1903</v>
      </c>
    </row>
    <row r="98" spans="8:9" x14ac:dyDescent="0.25">
      <c r="H98" s="72">
        <v>52</v>
      </c>
      <c r="I98" s="132" t="s">
        <v>1904</v>
      </c>
    </row>
    <row r="99" spans="8:9" x14ac:dyDescent="0.25">
      <c r="H99" s="72">
        <v>53</v>
      </c>
      <c r="I99" s="132" t="s">
        <v>1905</v>
      </c>
    </row>
    <row r="100" spans="8:9" x14ac:dyDescent="0.25">
      <c r="H100" s="72">
        <v>54</v>
      </c>
      <c r="I100" s="132" t="s">
        <v>1906</v>
      </c>
    </row>
    <row r="101" spans="8:9" x14ac:dyDescent="0.25">
      <c r="H101" s="72">
        <v>55</v>
      </c>
      <c r="I101" s="132" t="s">
        <v>1907</v>
      </c>
    </row>
    <row r="102" spans="8:9" x14ac:dyDescent="0.25">
      <c r="H102" s="72">
        <v>56</v>
      </c>
      <c r="I102" s="132" t="s">
        <v>1908</v>
      </c>
    </row>
    <row r="103" spans="8:9" x14ac:dyDescent="0.25">
      <c r="H103" s="72">
        <v>57</v>
      </c>
      <c r="I103" s="132" t="s">
        <v>1909</v>
      </c>
    </row>
    <row r="104" spans="8:9" x14ac:dyDescent="0.25">
      <c r="H104" s="72">
        <v>58</v>
      </c>
      <c r="I104" s="132" t="s">
        <v>1910</v>
      </c>
    </row>
    <row r="105" spans="8:9" x14ac:dyDescent="0.25">
      <c r="H105" s="72">
        <v>59</v>
      </c>
      <c r="I105" s="132" t="s">
        <v>1911</v>
      </c>
    </row>
    <row r="106" spans="8:9" x14ac:dyDescent="0.25">
      <c r="H106" s="72">
        <v>60</v>
      </c>
      <c r="I106" s="132" t="s">
        <v>1912</v>
      </c>
    </row>
    <row r="107" spans="8:9" x14ac:dyDescent="0.25">
      <c r="H107" s="72">
        <v>61</v>
      </c>
      <c r="I107" s="132" t="s">
        <v>1913</v>
      </c>
    </row>
    <row r="108" spans="8:9" x14ac:dyDescent="0.25">
      <c r="H108" s="72">
        <v>62</v>
      </c>
      <c r="I108" s="132" t="s">
        <v>1914</v>
      </c>
    </row>
    <row r="109" spans="8:9" x14ac:dyDescent="0.25">
      <c r="H109" s="72">
        <v>63</v>
      </c>
      <c r="I109" s="132" t="s">
        <v>1915</v>
      </c>
    </row>
    <row r="110" spans="8:9" x14ac:dyDescent="0.25">
      <c r="H110" s="72">
        <v>64</v>
      </c>
      <c r="I110" s="132" t="s">
        <v>1916</v>
      </c>
    </row>
    <row r="111" spans="8:9" x14ac:dyDescent="0.25">
      <c r="H111" s="72">
        <v>65</v>
      </c>
      <c r="I111" s="132" t="s">
        <v>1917</v>
      </c>
    </row>
    <row r="112" spans="8:9" x14ac:dyDescent="0.25">
      <c r="H112" s="72">
        <v>66</v>
      </c>
      <c r="I112" s="132" t="s">
        <v>1918</v>
      </c>
    </row>
    <row r="113" spans="8:9" x14ac:dyDescent="0.25">
      <c r="H113" s="72">
        <v>67</v>
      </c>
      <c r="I113" s="132" t="s">
        <v>1919</v>
      </c>
    </row>
    <row r="114" spans="8:9" x14ac:dyDescent="0.25">
      <c r="H114" s="72">
        <v>68</v>
      </c>
      <c r="I114" s="132" t="s">
        <v>1920</v>
      </c>
    </row>
    <row r="115" spans="8:9" x14ac:dyDescent="0.25">
      <c r="H115" s="72">
        <v>69</v>
      </c>
      <c r="I115" s="132" t="s">
        <v>1921</v>
      </c>
    </row>
    <row r="116" spans="8:9" x14ac:dyDescent="0.25">
      <c r="H116" s="72">
        <v>70</v>
      </c>
      <c r="I116" s="133"/>
    </row>
    <row r="117" spans="8:9" x14ac:dyDescent="0.25">
      <c r="H117" s="72">
        <v>71</v>
      </c>
      <c r="I117" s="132" t="s">
        <v>1922</v>
      </c>
    </row>
    <row r="118" spans="8:9" x14ac:dyDescent="0.25">
      <c r="H118" s="72">
        <v>72</v>
      </c>
      <c r="I118" s="132" t="s">
        <v>1923</v>
      </c>
    </row>
    <row r="119" spans="8:9" x14ac:dyDescent="0.25">
      <c r="H119" s="72">
        <v>73</v>
      </c>
      <c r="I119" s="133"/>
    </row>
    <row r="120" spans="8:9" x14ac:dyDescent="0.25">
      <c r="H120" s="72">
        <v>74</v>
      </c>
      <c r="I120" s="132" t="s">
        <v>1924</v>
      </c>
    </row>
    <row r="121" spans="8:9" x14ac:dyDescent="0.25">
      <c r="H121" s="72">
        <v>75</v>
      </c>
      <c r="I121" s="132" t="s">
        <v>1925</v>
      </c>
    </row>
    <row r="122" spans="8:9" x14ac:dyDescent="0.25">
      <c r="H122" s="72">
        <v>76</v>
      </c>
      <c r="I122" s="132" t="s">
        <v>1926</v>
      </c>
    </row>
    <row r="123" spans="8:9" x14ac:dyDescent="0.25">
      <c r="H123" s="72">
        <v>77</v>
      </c>
      <c r="I123" s="132" t="s">
        <v>1927</v>
      </c>
    </row>
    <row r="124" spans="8:9" x14ac:dyDescent="0.25">
      <c r="H124" s="72">
        <v>78</v>
      </c>
      <c r="I124" s="132" t="s">
        <v>1928</v>
      </c>
    </row>
    <row r="125" spans="8:9" x14ac:dyDescent="0.25">
      <c r="H125" s="72">
        <v>79</v>
      </c>
      <c r="I125" s="132" t="s">
        <v>1929</v>
      </c>
    </row>
    <row r="126" spans="8:9" x14ac:dyDescent="0.25">
      <c r="H126" s="72">
        <v>80</v>
      </c>
      <c r="I126" s="132" t="s">
        <v>1930</v>
      </c>
    </row>
    <row r="127" spans="8:9" x14ac:dyDescent="0.25">
      <c r="H127" s="72">
        <v>81</v>
      </c>
      <c r="I127" s="132" t="s">
        <v>1931</v>
      </c>
    </row>
    <row r="128" spans="8:9" x14ac:dyDescent="0.25">
      <c r="H128" s="72">
        <v>82</v>
      </c>
      <c r="I128" s="132" t="s">
        <v>1932</v>
      </c>
    </row>
    <row r="129" spans="8:9" x14ac:dyDescent="0.25">
      <c r="H129" s="72">
        <v>83</v>
      </c>
      <c r="I129" s="133"/>
    </row>
    <row r="130" spans="8:9" x14ac:dyDescent="0.25">
      <c r="H130" s="72">
        <v>84</v>
      </c>
      <c r="I130" s="132" t="s">
        <v>1933</v>
      </c>
    </row>
    <row r="131" spans="8:9" x14ac:dyDescent="0.25">
      <c r="H131" s="72">
        <v>85</v>
      </c>
      <c r="I131" s="132" t="s">
        <v>1934</v>
      </c>
    </row>
    <row r="132" spans="8:9" x14ac:dyDescent="0.25">
      <c r="H132" s="72">
        <v>86</v>
      </c>
      <c r="I132" s="132" t="s">
        <v>1935</v>
      </c>
    </row>
    <row r="133" spans="8:9" x14ac:dyDescent="0.25">
      <c r="H133" s="72">
        <v>87</v>
      </c>
      <c r="I133" s="132" t="s">
        <v>1936</v>
      </c>
    </row>
    <row r="134" spans="8:9" x14ac:dyDescent="0.25">
      <c r="H134" s="72">
        <v>88</v>
      </c>
      <c r="I134" s="133"/>
    </row>
    <row r="135" spans="8:9" x14ac:dyDescent="0.25">
      <c r="H135" s="72">
        <v>89</v>
      </c>
      <c r="I135" s="132" t="s">
        <v>1937</v>
      </c>
    </row>
    <row r="136" spans="8:9" x14ac:dyDescent="0.25">
      <c r="H136" s="72">
        <v>90</v>
      </c>
      <c r="I136" s="132" t="s">
        <v>1938</v>
      </c>
    </row>
    <row r="137" spans="8:9" x14ac:dyDescent="0.25">
      <c r="H137" s="72">
        <v>91</v>
      </c>
      <c r="I137" s="132" t="s">
        <v>1939</v>
      </c>
    </row>
    <row r="138" spans="8:9" x14ac:dyDescent="0.25">
      <c r="H138" s="72">
        <v>92</v>
      </c>
      <c r="I138" s="133"/>
    </row>
    <row r="139" spans="8:9" x14ac:dyDescent="0.25">
      <c r="H139" s="72">
        <v>93</v>
      </c>
      <c r="I139" s="132" t="s">
        <v>1940</v>
      </c>
    </row>
    <row r="140" spans="8:9" x14ac:dyDescent="0.25">
      <c r="H140" s="72">
        <v>94</v>
      </c>
      <c r="I140" s="132" t="s">
        <v>1941</v>
      </c>
    </row>
    <row r="141" spans="8:9" x14ac:dyDescent="0.25">
      <c r="H141" s="72">
        <v>95</v>
      </c>
      <c r="I141" s="132" t="s">
        <v>1942</v>
      </c>
    </row>
    <row r="142" spans="8:9" x14ac:dyDescent="0.25">
      <c r="H142" s="72">
        <v>96</v>
      </c>
      <c r="I142" s="133"/>
    </row>
    <row r="143" spans="8:9" x14ac:dyDescent="0.25">
      <c r="H143" s="72">
        <v>97</v>
      </c>
      <c r="I143" s="132" t="s">
        <v>1943</v>
      </c>
    </row>
    <row r="144" spans="8:9" x14ac:dyDescent="0.25">
      <c r="H144" s="72">
        <v>98</v>
      </c>
      <c r="I144" s="132" t="s">
        <v>1944</v>
      </c>
    </row>
    <row r="145" spans="8:9" x14ac:dyDescent="0.25">
      <c r="H145" s="72">
        <v>99</v>
      </c>
      <c r="I145" s="132" t="s">
        <v>1945</v>
      </c>
    </row>
    <row r="146" spans="8:9" x14ac:dyDescent="0.25">
      <c r="H146" s="72">
        <v>100</v>
      </c>
      <c r="I146" s="132" t="s">
        <v>1946</v>
      </c>
    </row>
    <row r="147" spans="8:9" x14ac:dyDescent="0.25">
      <c r="H147" s="72">
        <v>101</v>
      </c>
      <c r="I147" s="132" t="s">
        <v>1947</v>
      </c>
    </row>
    <row r="148" spans="8:9" x14ac:dyDescent="0.25">
      <c r="H148" s="72">
        <v>102</v>
      </c>
      <c r="I148" s="132" t="s">
        <v>1948</v>
      </c>
    </row>
    <row r="149" spans="8:9" x14ac:dyDescent="0.25">
      <c r="H149" s="72">
        <v>103</v>
      </c>
      <c r="I149" s="132" t="s">
        <v>1949</v>
      </c>
    </row>
    <row r="150" spans="8:9" x14ac:dyDescent="0.25">
      <c r="H150" s="72">
        <v>104</v>
      </c>
      <c r="I150" s="132" t="s">
        <v>1950</v>
      </c>
    </row>
    <row r="151" spans="8:9" x14ac:dyDescent="0.25">
      <c r="H151" s="72">
        <v>105</v>
      </c>
      <c r="I151" s="132" t="s">
        <v>1951</v>
      </c>
    </row>
    <row r="152" spans="8:9" x14ac:dyDescent="0.25">
      <c r="H152" s="72">
        <v>106</v>
      </c>
      <c r="I152" s="132" t="s">
        <v>1952</v>
      </c>
    </row>
    <row r="153" spans="8:9" x14ac:dyDescent="0.25">
      <c r="H153" s="72">
        <v>107</v>
      </c>
      <c r="I153" s="132" t="s">
        <v>1953</v>
      </c>
    </row>
    <row r="154" spans="8:9" x14ac:dyDescent="0.25">
      <c r="H154" s="72">
        <v>108</v>
      </c>
      <c r="I154" s="132" t="s">
        <v>1954</v>
      </c>
    </row>
    <row r="155" spans="8:9" x14ac:dyDescent="0.25">
      <c r="H155" s="72">
        <v>109</v>
      </c>
      <c r="I155" s="132" t="s">
        <v>1955</v>
      </c>
    </row>
    <row r="156" spans="8:9" x14ac:dyDescent="0.25">
      <c r="H156" s="72">
        <v>110</v>
      </c>
      <c r="I156" s="132" t="s">
        <v>1956</v>
      </c>
    </row>
    <row r="157" spans="8:9" x14ac:dyDescent="0.25">
      <c r="H157" s="72">
        <v>111</v>
      </c>
      <c r="I157" s="132" t="s">
        <v>1957</v>
      </c>
    </row>
    <row r="158" spans="8:9" x14ac:dyDescent="0.25">
      <c r="H158" s="72">
        <v>112</v>
      </c>
      <c r="I158" s="132" t="s">
        <v>1958</v>
      </c>
    </row>
    <row r="159" spans="8:9" x14ac:dyDescent="0.25">
      <c r="H159" s="72">
        <v>113</v>
      </c>
      <c r="I159" s="132" t="s">
        <v>1959</v>
      </c>
    </row>
    <row r="160" spans="8:9" x14ac:dyDescent="0.25">
      <c r="H160" s="72">
        <v>114</v>
      </c>
      <c r="I160" s="132" t="s">
        <v>1960</v>
      </c>
    </row>
    <row r="161" spans="8:9" x14ac:dyDescent="0.25">
      <c r="H161" s="72">
        <v>115</v>
      </c>
      <c r="I161" s="132" t="s">
        <v>1961</v>
      </c>
    </row>
    <row r="162" spans="8:9" x14ac:dyDescent="0.25">
      <c r="H162" s="72">
        <v>116</v>
      </c>
      <c r="I162" s="132" t="s">
        <v>1962</v>
      </c>
    </row>
    <row r="163" spans="8:9" x14ac:dyDescent="0.25">
      <c r="H163" s="72">
        <v>117</v>
      </c>
      <c r="I163" s="132" t="s">
        <v>1963</v>
      </c>
    </row>
    <row r="164" spans="8:9" x14ac:dyDescent="0.25">
      <c r="H164" s="72">
        <v>118</v>
      </c>
      <c r="I164" s="132" t="s">
        <v>1964</v>
      </c>
    </row>
    <row r="165" spans="8:9" x14ac:dyDescent="0.25">
      <c r="H165" s="72">
        <v>119</v>
      </c>
      <c r="I165" s="132" t="s">
        <v>1965</v>
      </c>
    </row>
    <row r="166" spans="8:9" x14ac:dyDescent="0.25">
      <c r="H166" s="72">
        <v>120</v>
      </c>
      <c r="I166" s="132" t="s">
        <v>1966</v>
      </c>
    </row>
    <row r="167" spans="8:9" x14ac:dyDescent="0.25">
      <c r="H167" s="72">
        <v>121</v>
      </c>
      <c r="I167" s="132" t="s">
        <v>1967</v>
      </c>
    </row>
    <row r="168" spans="8:9" x14ac:dyDescent="0.25">
      <c r="H168" s="72">
        <v>122</v>
      </c>
      <c r="I168" s="132" t="s">
        <v>1968</v>
      </c>
    </row>
    <row r="169" spans="8:9" x14ac:dyDescent="0.25">
      <c r="H169" s="72">
        <v>123</v>
      </c>
      <c r="I169" s="132" t="s">
        <v>1969</v>
      </c>
    </row>
    <row r="170" spans="8:9" x14ac:dyDescent="0.25">
      <c r="H170" s="72">
        <v>124</v>
      </c>
      <c r="I170" s="133"/>
    </row>
    <row r="171" spans="8:9" x14ac:dyDescent="0.25">
      <c r="H171" s="72">
        <v>125</v>
      </c>
      <c r="I171" s="132" t="s">
        <v>1970</v>
      </c>
    </row>
    <row r="172" spans="8:9" x14ac:dyDescent="0.25">
      <c r="H172" s="72">
        <v>126</v>
      </c>
      <c r="I172" s="132" t="s">
        <v>1971</v>
      </c>
    </row>
    <row r="173" spans="8:9" x14ac:dyDescent="0.25">
      <c r="H173" s="72">
        <v>127</v>
      </c>
      <c r="I173" s="132" t="s">
        <v>1922</v>
      </c>
    </row>
    <row r="174" spans="8:9" x14ac:dyDescent="0.25">
      <c r="H174" s="72">
        <v>128</v>
      </c>
      <c r="I174" s="132" t="s">
        <v>1972</v>
      </c>
    </row>
    <row r="175" spans="8:9" x14ac:dyDescent="0.25">
      <c r="H175" s="72">
        <v>129</v>
      </c>
      <c r="I175" s="132" t="s">
        <v>1973</v>
      </c>
    </row>
    <row r="176" spans="8:9" x14ac:dyDescent="0.25">
      <c r="H176" s="72">
        <v>130</v>
      </c>
      <c r="I176" s="132" t="s">
        <v>1974</v>
      </c>
    </row>
    <row r="177" spans="8:9" x14ac:dyDescent="0.25">
      <c r="H177" s="72">
        <v>131</v>
      </c>
      <c r="I177" s="132" t="s">
        <v>1975</v>
      </c>
    </row>
    <row r="178" spans="8:9" x14ac:dyDescent="0.25">
      <c r="H178" s="72">
        <v>132</v>
      </c>
      <c r="I178" s="132" t="s">
        <v>1976</v>
      </c>
    </row>
    <row r="179" spans="8:9" x14ac:dyDescent="0.25">
      <c r="H179" s="72">
        <v>133</v>
      </c>
      <c r="I179" s="132" t="s">
        <v>1977</v>
      </c>
    </row>
    <row r="180" spans="8:9" x14ac:dyDescent="0.25">
      <c r="H180" s="72">
        <v>134</v>
      </c>
      <c r="I180" s="132" t="s">
        <v>1978</v>
      </c>
    </row>
    <row r="181" spans="8:9" x14ac:dyDescent="0.25">
      <c r="H181" s="72">
        <v>135</v>
      </c>
      <c r="I181" s="132" t="s">
        <v>1979</v>
      </c>
    </row>
    <row r="182" spans="8:9" x14ac:dyDescent="0.25">
      <c r="H182" s="72">
        <v>136</v>
      </c>
      <c r="I182" s="132" t="s">
        <v>1980</v>
      </c>
    </row>
    <row r="183" spans="8:9" x14ac:dyDescent="0.25">
      <c r="H183" s="72">
        <v>137</v>
      </c>
      <c r="I183" s="132" t="s">
        <v>1981</v>
      </c>
    </row>
    <row r="184" spans="8:9" x14ac:dyDescent="0.25">
      <c r="H184" s="72">
        <v>138</v>
      </c>
      <c r="I184" s="132" t="s">
        <v>1982</v>
      </c>
    </row>
    <row r="185" spans="8:9" x14ac:dyDescent="0.25">
      <c r="H185" s="72">
        <v>139</v>
      </c>
      <c r="I185" s="132" t="s">
        <v>1983</v>
      </c>
    </row>
    <row r="186" spans="8:9" x14ac:dyDescent="0.25">
      <c r="H186" s="72">
        <v>140</v>
      </c>
      <c r="I186" s="132" t="s">
        <v>1984</v>
      </c>
    </row>
    <row r="187" spans="8:9" x14ac:dyDescent="0.25">
      <c r="H187" s="72">
        <v>141</v>
      </c>
      <c r="I187" s="132" t="s">
        <v>1985</v>
      </c>
    </row>
    <row r="188" spans="8:9" x14ac:dyDescent="0.25">
      <c r="H188" s="72">
        <v>142</v>
      </c>
      <c r="I188" s="132" t="s">
        <v>1986</v>
      </c>
    </row>
    <row r="189" spans="8:9" x14ac:dyDescent="0.25">
      <c r="H189" s="72">
        <v>143</v>
      </c>
      <c r="I189" s="132" t="s">
        <v>1987</v>
      </c>
    </row>
    <row r="190" spans="8:9" x14ac:dyDescent="0.25">
      <c r="H190" s="72">
        <v>144</v>
      </c>
      <c r="I190" s="133"/>
    </row>
    <row r="191" spans="8:9" x14ac:dyDescent="0.25">
      <c r="H191" s="72">
        <v>145</v>
      </c>
      <c r="I191" s="132" t="s">
        <v>1926</v>
      </c>
    </row>
    <row r="192" spans="8:9" x14ac:dyDescent="0.25">
      <c r="H192" s="72">
        <v>146</v>
      </c>
      <c r="I192" s="132" t="s">
        <v>1988</v>
      </c>
    </row>
    <row r="193" spans="8:9" x14ac:dyDescent="0.25">
      <c r="H193" s="72">
        <v>147</v>
      </c>
      <c r="I193" s="132" t="s">
        <v>1989</v>
      </c>
    </row>
    <row r="194" spans="8:9" x14ac:dyDescent="0.25">
      <c r="H194" s="72">
        <v>148</v>
      </c>
      <c r="I194" s="132" t="s">
        <v>1990</v>
      </c>
    </row>
    <row r="195" spans="8:9" x14ac:dyDescent="0.25">
      <c r="H195" s="72">
        <v>149</v>
      </c>
      <c r="I195" s="132" t="s">
        <v>1991</v>
      </c>
    </row>
    <row r="196" spans="8:9" x14ac:dyDescent="0.25">
      <c r="H196" s="72">
        <v>150</v>
      </c>
      <c r="I196" s="132" t="s">
        <v>1992</v>
      </c>
    </row>
    <row r="197" spans="8:9" x14ac:dyDescent="0.25">
      <c r="H197" s="72">
        <v>151</v>
      </c>
      <c r="I197" s="132" t="s">
        <v>1993</v>
      </c>
    </row>
    <row r="198" spans="8:9" x14ac:dyDescent="0.25">
      <c r="H198" s="72">
        <v>152</v>
      </c>
      <c r="I198" s="132" t="s">
        <v>1994</v>
      </c>
    </row>
    <row r="199" spans="8:9" x14ac:dyDescent="0.25">
      <c r="H199" s="72">
        <v>153</v>
      </c>
      <c r="I199" s="132" t="s">
        <v>1995</v>
      </c>
    </row>
    <row r="200" spans="8:9" x14ac:dyDescent="0.25">
      <c r="H200" s="72">
        <v>154</v>
      </c>
      <c r="I200" s="132" t="s">
        <v>1996</v>
      </c>
    </row>
    <row r="201" spans="8:9" x14ac:dyDescent="0.25">
      <c r="H201" s="72">
        <v>155</v>
      </c>
      <c r="I201" s="132" t="s">
        <v>1997</v>
      </c>
    </row>
    <row r="202" spans="8:9" x14ac:dyDescent="0.25">
      <c r="H202" s="72">
        <v>156</v>
      </c>
      <c r="I202" s="132" t="s">
        <v>1998</v>
      </c>
    </row>
    <row r="203" spans="8:9" x14ac:dyDescent="0.25">
      <c r="H203" s="72">
        <v>157</v>
      </c>
      <c r="I203" s="133"/>
    </row>
    <row r="204" spans="8:9" x14ac:dyDescent="0.25">
      <c r="H204" s="72">
        <v>158</v>
      </c>
      <c r="I204" s="132" t="s">
        <v>1999</v>
      </c>
    </row>
    <row r="205" spans="8:9" x14ac:dyDescent="0.25">
      <c r="H205" s="72">
        <v>159</v>
      </c>
      <c r="I205" s="132" t="s">
        <v>2000</v>
      </c>
    </row>
    <row r="206" spans="8:9" x14ac:dyDescent="0.25">
      <c r="H206" s="72">
        <v>160</v>
      </c>
      <c r="I206" s="132" t="s">
        <v>2001</v>
      </c>
    </row>
    <row r="207" spans="8:9" x14ac:dyDescent="0.25">
      <c r="H207" s="72">
        <v>161</v>
      </c>
      <c r="I207" s="132" t="s">
        <v>2002</v>
      </c>
    </row>
    <row r="208" spans="8:9" x14ac:dyDescent="0.25">
      <c r="H208" s="72">
        <v>162</v>
      </c>
      <c r="I208" s="132" t="s">
        <v>2003</v>
      </c>
    </row>
    <row r="209" spans="8:9" x14ac:dyDescent="0.25">
      <c r="H209" s="72">
        <v>163</v>
      </c>
      <c r="I209" s="132" t="s">
        <v>2004</v>
      </c>
    </row>
    <row r="210" spans="8:9" x14ac:dyDescent="0.25">
      <c r="H210" s="72">
        <v>164</v>
      </c>
      <c r="I210" s="132" t="s">
        <v>2005</v>
      </c>
    </row>
    <row r="211" spans="8:9" x14ac:dyDescent="0.25">
      <c r="H211" s="72">
        <v>165</v>
      </c>
      <c r="I211" s="132" t="s">
        <v>2006</v>
      </c>
    </row>
    <row r="212" spans="8:9" x14ac:dyDescent="0.25">
      <c r="H212" s="72">
        <v>166</v>
      </c>
      <c r="I212" s="132" t="s">
        <v>2007</v>
      </c>
    </row>
    <row r="213" spans="8:9" x14ac:dyDescent="0.25">
      <c r="H213" s="72">
        <v>167</v>
      </c>
      <c r="I213" s="132" t="s">
        <v>2008</v>
      </c>
    </row>
    <row r="214" spans="8:9" x14ac:dyDescent="0.25">
      <c r="H214" s="72">
        <v>168</v>
      </c>
      <c r="I214" s="132" t="s">
        <v>2009</v>
      </c>
    </row>
    <row r="215" spans="8:9" x14ac:dyDescent="0.25">
      <c r="H215" s="72">
        <v>169</v>
      </c>
      <c r="I215" s="133"/>
    </row>
    <row r="216" spans="8:9" x14ac:dyDescent="0.25">
      <c r="H216" s="72">
        <v>170</v>
      </c>
      <c r="I216" s="132" t="s">
        <v>2010</v>
      </c>
    </row>
    <row r="217" spans="8:9" x14ac:dyDescent="0.25">
      <c r="H217" s="72">
        <v>171</v>
      </c>
      <c r="I217" s="132" t="s">
        <v>2011</v>
      </c>
    </row>
    <row r="218" spans="8:9" x14ac:dyDescent="0.25">
      <c r="H218" s="72">
        <v>172</v>
      </c>
      <c r="I218" s="132" t="s">
        <v>2012</v>
      </c>
    </row>
    <row r="219" spans="8:9" x14ac:dyDescent="0.25">
      <c r="H219" s="72">
        <v>173</v>
      </c>
      <c r="I219" s="132" t="s">
        <v>2013</v>
      </c>
    </row>
    <row r="220" spans="8:9" x14ac:dyDescent="0.25">
      <c r="H220" s="72">
        <v>174</v>
      </c>
      <c r="I220" s="132" t="s">
        <v>2014</v>
      </c>
    </row>
    <row r="221" spans="8:9" x14ac:dyDescent="0.25">
      <c r="H221" s="72">
        <v>175</v>
      </c>
      <c r="I221" s="132" t="s">
        <v>2015</v>
      </c>
    </row>
    <row r="222" spans="8:9" x14ac:dyDescent="0.25">
      <c r="H222" s="72">
        <v>176</v>
      </c>
      <c r="I222" s="132" t="s">
        <v>2016</v>
      </c>
    </row>
    <row r="223" spans="8:9" x14ac:dyDescent="0.25">
      <c r="H223" s="72">
        <v>177</v>
      </c>
      <c r="I223" s="132" t="s">
        <v>2017</v>
      </c>
    </row>
    <row r="224" spans="8:9" x14ac:dyDescent="0.25">
      <c r="H224" s="72">
        <v>178</v>
      </c>
      <c r="I224" s="132" t="s">
        <v>2018</v>
      </c>
    </row>
    <row r="225" spans="8:9" x14ac:dyDescent="0.25">
      <c r="H225" s="72">
        <v>179</v>
      </c>
      <c r="I225" s="132" t="s">
        <v>2019</v>
      </c>
    </row>
    <row r="226" spans="8:9" x14ac:dyDescent="0.25">
      <c r="H226" s="72">
        <v>180</v>
      </c>
      <c r="I226" s="132" t="s">
        <v>2020</v>
      </c>
    </row>
    <row r="227" spans="8:9" x14ac:dyDescent="0.25">
      <c r="H227" s="72">
        <v>181</v>
      </c>
      <c r="I227" s="132" t="s">
        <v>2021</v>
      </c>
    </row>
    <row r="228" spans="8:9" x14ac:dyDescent="0.25">
      <c r="H228" s="72">
        <v>182</v>
      </c>
      <c r="I228" s="132" t="s">
        <v>2022</v>
      </c>
    </row>
    <row r="229" spans="8:9" x14ac:dyDescent="0.25">
      <c r="H229" s="72">
        <v>183</v>
      </c>
      <c r="I229" s="133"/>
    </row>
    <row r="230" spans="8:9" x14ac:dyDescent="0.25">
      <c r="H230" s="72">
        <v>184</v>
      </c>
      <c r="I230" s="132" t="s">
        <v>2023</v>
      </c>
    </row>
    <row r="231" spans="8:9" x14ac:dyDescent="0.25">
      <c r="H231" s="72">
        <v>185</v>
      </c>
      <c r="I231" s="132" t="s">
        <v>2024</v>
      </c>
    </row>
    <row r="232" spans="8:9" x14ac:dyDescent="0.25">
      <c r="H232" s="72">
        <v>186</v>
      </c>
      <c r="I232" s="132" t="s">
        <v>2025</v>
      </c>
    </row>
    <row r="233" spans="8:9" x14ac:dyDescent="0.25">
      <c r="H233" s="72">
        <v>187</v>
      </c>
      <c r="I233" s="132" t="s">
        <v>2026</v>
      </c>
    </row>
    <row r="234" spans="8:9" x14ac:dyDescent="0.25">
      <c r="H234" s="72">
        <v>188</v>
      </c>
      <c r="I234" s="132" t="s">
        <v>2027</v>
      </c>
    </row>
    <row r="235" spans="8:9" x14ac:dyDescent="0.25">
      <c r="H235" s="72">
        <v>189</v>
      </c>
      <c r="I235" s="132" t="s">
        <v>2028</v>
      </c>
    </row>
    <row r="236" spans="8:9" x14ac:dyDescent="0.25">
      <c r="H236" s="72">
        <v>190</v>
      </c>
      <c r="I236" s="132" t="s">
        <v>2029</v>
      </c>
    </row>
    <row r="237" spans="8:9" x14ac:dyDescent="0.25">
      <c r="H237" s="72">
        <v>191</v>
      </c>
      <c r="I237" s="132" t="s">
        <v>2030</v>
      </c>
    </row>
    <row r="238" spans="8:9" x14ac:dyDescent="0.25">
      <c r="H238" s="72">
        <v>192</v>
      </c>
      <c r="I238" s="132" t="s">
        <v>2031</v>
      </c>
    </row>
    <row r="239" spans="8:9" x14ac:dyDescent="0.25">
      <c r="H239" s="72">
        <v>193</v>
      </c>
      <c r="I239" s="132" t="s">
        <v>2032</v>
      </c>
    </row>
    <row r="240" spans="8:9" x14ac:dyDescent="0.25">
      <c r="H240" s="72">
        <v>194</v>
      </c>
      <c r="I240" s="132" t="s">
        <v>2033</v>
      </c>
    </row>
    <row r="241" spans="8:9" x14ac:dyDescent="0.25">
      <c r="H241" s="72">
        <v>195</v>
      </c>
      <c r="I241" s="132" t="s">
        <v>2034</v>
      </c>
    </row>
    <row r="242" spans="8:9" x14ac:dyDescent="0.25">
      <c r="H242" s="72">
        <v>196</v>
      </c>
      <c r="I242" s="132" t="s">
        <v>2035</v>
      </c>
    </row>
    <row r="243" spans="8:9" x14ac:dyDescent="0.25">
      <c r="H243" s="72">
        <v>197</v>
      </c>
      <c r="I243" s="132" t="s">
        <v>2036</v>
      </c>
    </row>
    <row r="244" spans="8:9" x14ac:dyDescent="0.25">
      <c r="H244" s="72">
        <v>198</v>
      </c>
      <c r="I244" s="132" t="s">
        <v>2037</v>
      </c>
    </row>
    <row r="245" spans="8:9" x14ac:dyDescent="0.25">
      <c r="H245" s="72">
        <v>199</v>
      </c>
      <c r="I245" s="132" t="s">
        <v>2038</v>
      </c>
    </row>
    <row r="246" spans="8:9" x14ac:dyDescent="0.25">
      <c r="H246" s="72">
        <v>200</v>
      </c>
      <c r="I246" s="132" t="s">
        <v>2039</v>
      </c>
    </row>
    <row r="247" spans="8:9" x14ac:dyDescent="0.25">
      <c r="H247" s="72">
        <v>201</v>
      </c>
      <c r="I247" s="132" t="s">
        <v>2040</v>
      </c>
    </row>
    <row r="248" spans="8:9" x14ac:dyDescent="0.25">
      <c r="H248" s="72">
        <v>202</v>
      </c>
      <c r="I248" s="132" t="s">
        <v>2041</v>
      </c>
    </row>
    <row r="249" spans="8:9" x14ac:dyDescent="0.25">
      <c r="H249" s="72">
        <v>203</v>
      </c>
      <c r="I249" s="132" t="s">
        <v>2042</v>
      </c>
    </row>
    <row r="250" spans="8:9" x14ac:dyDescent="0.25">
      <c r="H250" s="72">
        <v>204</v>
      </c>
      <c r="I250" s="132" t="s">
        <v>2043</v>
      </c>
    </row>
    <row r="251" spans="8:9" x14ac:dyDescent="0.25">
      <c r="H251" s="72">
        <v>205</v>
      </c>
      <c r="I251" s="132" t="s">
        <v>2044</v>
      </c>
    </row>
    <row r="252" spans="8:9" x14ac:dyDescent="0.25">
      <c r="H252" s="72">
        <v>206</v>
      </c>
      <c r="I252" s="132" t="s">
        <v>2045</v>
      </c>
    </row>
    <row r="253" spans="8:9" x14ac:dyDescent="0.25">
      <c r="H253" s="72">
        <v>207</v>
      </c>
      <c r="I253" s="132" t="s">
        <v>2046</v>
      </c>
    </row>
    <row r="254" spans="8:9" x14ac:dyDescent="0.25">
      <c r="H254" s="72">
        <v>208</v>
      </c>
      <c r="I254" s="132" t="s">
        <v>2047</v>
      </c>
    </row>
    <row r="255" spans="8:9" x14ac:dyDescent="0.25">
      <c r="H255" s="72">
        <v>209</v>
      </c>
      <c r="I255" s="133"/>
    </row>
    <row r="256" spans="8:9" x14ac:dyDescent="0.25">
      <c r="H256" s="72">
        <v>210</v>
      </c>
      <c r="I256" s="132" t="s">
        <v>2048</v>
      </c>
    </row>
    <row r="257" spans="8:9" x14ac:dyDescent="0.25">
      <c r="H257" s="72">
        <v>211</v>
      </c>
      <c r="I257" s="132" t="s">
        <v>2049</v>
      </c>
    </row>
    <row r="258" spans="8:9" x14ac:dyDescent="0.25">
      <c r="H258" s="72">
        <v>212</v>
      </c>
      <c r="I258" s="132" t="s">
        <v>2050</v>
      </c>
    </row>
    <row r="259" spans="8:9" x14ac:dyDescent="0.25">
      <c r="H259" s="72">
        <v>213</v>
      </c>
      <c r="I259" s="132" t="s">
        <v>2051</v>
      </c>
    </row>
    <row r="260" spans="8:9" x14ac:dyDescent="0.25">
      <c r="H260" s="72">
        <v>214</v>
      </c>
      <c r="I260" s="132" t="s">
        <v>2052</v>
      </c>
    </row>
    <row r="261" spans="8:9" x14ac:dyDescent="0.25">
      <c r="H261" s="72">
        <v>215</v>
      </c>
      <c r="I261" s="132" t="s">
        <v>2053</v>
      </c>
    </row>
    <row r="262" spans="8:9" x14ac:dyDescent="0.25">
      <c r="H262" s="72">
        <v>216</v>
      </c>
      <c r="I262" s="132" t="s">
        <v>2054</v>
      </c>
    </row>
    <row r="263" spans="8:9" x14ac:dyDescent="0.25">
      <c r="H263" s="72">
        <v>217</v>
      </c>
      <c r="I263" s="132" t="s">
        <v>2055</v>
      </c>
    </row>
    <row r="264" spans="8:9" x14ac:dyDescent="0.25">
      <c r="H264" s="72">
        <v>218</v>
      </c>
      <c r="I264" s="132" t="s">
        <v>2056</v>
      </c>
    </row>
    <row r="265" spans="8:9" x14ac:dyDescent="0.25">
      <c r="H265" s="72">
        <v>219</v>
      </c>
      <c r="I265" s="132" t="s">
        <v>2057</v>
      </c>
    </row>
    <row r="266" spans="8:9" x14ac:dyDescent="0.25">
      <c r="H266" s="72">
        <v>220</v>
      </c>
      <c r="I266" s="132" t="s">
        <v>2058</v>
      </c>
    </row>
    <row r="267" spans="8:9" x14ac:dyDescent="0.25">
      <c r="H267" s="72">
        <v>221</v>
      </c>
      <c r="I267" s="132" t="s">
        <v>2059</v>
      </c>
    </row>
    <row r="268" spans="8:9" x14ac:dyDescent="0.25">
      <c r="H268" s="72">
        <v>222</v>
      </c>
      <c r="I268" s="132" t="s">
        <v>2060</v>
      </c>
    </row>
    <row r="269" spans="8:9" x14ac:dyDescent="0.25">
      <c r="H269" s="72">
        <v>223</v>
      </c>
      <c r="I269" s="132" t="s">
        <v>2061</v>
      </c>
    </row>
    <row r="270" spans="8:9" x14ac:dyDescent="0.25">
      <c r="H270" s="72">
        <v>224</v>
      </c>
      <c r="I270" s="133"/>
    </row>
    <row r="271" spans="8:9" x14ac:dyDescent="0.25">
      <c r="H271" s="72">
        <v>225</v>
      </c>
      <c r="I271" s="132" t="s">
        <v>2062</v>
      </c>
    </row>
    <row r="272" spans="8:9" x14ac:dyDescent="0.25">
      <c r="H272" s="72">
        <v>226</v>
      </c>
      <c r="I272" s="132" t="s">
        <v>2063</v>
      </c>
    </row>
    <row r="273" spans="8:9" x14ac:dyDescent="0.25">
      <c r="H273" s="72">
        <v>227</v>
      </c>
      <c r="I273" s="132" t="s">
        <v>2064</v>
      </c>
    </row>
    <row r="274" spans="8:9" x14ac:dyDescent="0.25">
      <c r="H274" s="72">
        <v>228</v>
      </c>
      <c r="I274" s="133"/>
    </row>
    <row r="275" spans="8:9" x14ac:dyDescent="0.25">
      <c r="H275" s="72">
        <v>229</v>
      </c>
      <c r="I275" s="132" t="s">
        <v>2065</v>
      </c>
    </row>
    <row r="276" spans="8:9" x14ac:dyDescent="0.25">
      <c r="H276" s="72">
        <v>230</v>
      </c>
      <c r="I276" s="132" t="s">
        <v>2066</v>
      </c>
    </row>
    <row r="277" spans="8:9" x14ac:dyDescent="0.25">
      <c r="H277" s="72">
        <v>231</v>
      </c>
      <c r="I277" s="132" t="s">
        <v>2067</v>
      </c>
    </row>
    <row r="278" spans="8:9" x14ac:dyDescent="0.25">
      <c r="H278" s="72">
        <v>232</v>
      </c>
      <c r="I278" s="132" t="s">
        <v>2068</v>
      </c>
    </row>
    <row r="279" spans="8:9" x14ac:dyDescent="0.25">
      <c r="H279" s="72">
        <v>233</v>
      </c>
      <c r="I279" s="132" t="s">
        <v>2069</v>
      </c>
    </row>
    <row r="280" spans="8:9" x14ac:dyDescent="0.25">
      <c r="H280" s="72">
        <v>234</v>
      </c>
      <c r="I280" s="132" t="s">
        <v>2070</v>
      </c>
    </row>
    <row r="281" spans="8:9" x14ac:dyDescent="0.25">
      <c r="H281" s="72">
        <v>235</v>
      </c>
      <c r="I281" s="132" t="s">
        <v>2071</v>
      </c>
    </row>
    <row r="282" spans="8:9" x14ac:dyDescent="0.25">
      <c r="H282" s="72">
        <v>236</v>
      </c>
      <c r="I282" s="132" t="s">
        <v>2072</v>
      </c>
    </row>
    <row r="283" spans="8:9" x14ac:dyDescent="0.25">
      <c r="H283" s="72">
        <v>237</v>
      </c>
      <c r="I283" s="132" t="s">
        <v>2073</v>
      </c>
    </row>
    <row r="284" spans="8:9" x14ac:dyDescent="0.25">
      <c r="H284" s="72">
        <v>238</v>
      </c>
      <c r="I284" s="132" t="s">
        <v>2074</v>
      </c>
    </row>
    <row r="285" spans="8:9" x14ac:dyDescent="0.25">
      <c r="H285" s="72">
        <v>239</v>
      </c>
      <c r="I285" s="132" t="s">
        <v>2075</v>
      </c>
    </row>
    <row r="286" spans="8:9" x14ac:dyDescent="0.25">
      <c r="H286" s="72">
        <v>240</v>
      </c>
      <c r="I286" s="132" t="s">
        <v>2076</v>
      </c>
    </row>
    <row r="287" spans="8:9" x14ac:dyDescent="0.25">
      <c r="H287" s="72">
        <v>241</v>
      </c>
      <c r="I287" s="132" t="s">
        <v>2077</v>
      </c>
    </row>
    <row r="288" spans="8:9" x14ac:dyDescent="0.25">
      <c r="H288" s="72">
        <v>242</v>
      </c>
      <c r="I288" s="132" t="s">
        <v>2078</v>
      </c>
    </row>
    <row r="289" spans="8:9" x14ac:dyDescent="0.25">
      <c r="H289" s="72">
        <v>243</v>
      </c>
      <c r="I289" s="132" t="s">
        <v>2079</v>
      </c>
    </row>
    <row r="290" spans="8:9" x14ac:dyDescent="0.25">
      <c r="H290" s="72">
        <v>244</v>
      </c>
      <c r="I290" s="132" t="s">
        <v>2080</v>
      </c>
    </row>
    <row r="291" spans="8:9" x14ac:dyDescent="0.25">
      <c r="H291" s="72">
        <v>245</v>
      </c>
      <c r="I291" s="132" t="s">
        <v>2081</v>
      </c>
    </row>
    <row r="292" spans="8:9" x14ac:dyDescent="0.25">
      <c r="H292" s="72">
        <v>246</v>
      </c>
      <c r="I292" s="132" t="s">
        <v>2082</v>
      </c>
    </row>
    <row r="293" spans="8:9" x14ac:dyDescent="0.25">
      <c r="H293" s="72">
        <v>247</v>
      </c>
      <c r="I293" s="132" t="s">
        <v>2083</v>
      </c>
    </row>
    <row r="294" spans="8:9" x14ac:dyDescent="0.25">
      <c r="H294" s="72">
        <v>248</v>
      </c>
      <c r="I294" s="132" t="s">
        <v>2084</v>
      </c>
    </row>
    <row r="295" spans="8:9" x14ac:dyDescent="0.25">
      <c r="H295" s="72">
        <v>249</v>
      </c>
      <c r="I295" s="132" t="s">
        <v>2085</v>
      </c>
    </row>
    <row r="296" spans="8:9" x14ac:dyDescent="0.25">
      <c r="H296" s="72">
        <v>250</v>
      </c>
      <c r="I296" s="132" t="s">
        <v>2086</v>
      </c>
    </row>
    <row r="297" spans="8:9" x14ac:dyDescent="0.25">
      <c r="H297" s="72">
        <v>251</v>
      </c>
      <c r="I297" s="132" t="s">
        <v>2087</v>
      </c>
    </row>
    <row r="298" spans="8:9" x14ac:dyDescent="0.25">
      <c r="H298" s="72">
        <v>252</v>
      </c>
      <c r="I298" s="132" t="s">
        <v>2088</v>
      </c>
    </row>
    <row r="299" spans="8:9" x14ac:dyDescent="0.25">
      <c r="H299" s="72">
        <v>253</v>
      </c>
      <c r="I299" s="132" t="s">
        <v>2089</v>
      </c>
    </row>
    <row r="300" spans="8:9" x14ac:dyDescent="0.25">
      <c r="H300" s="72">
        <v>254</v>
      </c>
      <c r="I300" s="132" t="s">
        <v>2090</v>
      </c>
    </row>
    <row r="301" spans="8:9" x14ac:dyDescent="0.25">
      <c r="H301" s="72">
        <v>255</v>
      </c>
      <c r="I301" s="132" t="s">
        <v>2091</v>
      </c>
    </row>
    <row r="302" spans="8:9" x14ac:dyDescent="0.25">
      <c r="H302" s="72">
        <v>256</v>
      </c>
      <c r="I302" s="132" t="s">
        <v>2092</v>
      </c>
    </row>
    <row r="303" spans="8:9" x14ac:dyDescent="0.25">
      <c r="H303" s="72">
        <v>257</v>
      </c>
      <c r="I303" s="132" t="s">
        <v>2093</v>
      </c>
    </row>
    <row r="304" spans="8:9" x14ac:dyDescent="0.25">
      <c r="H304" s="72">
        <v>258</v>
      </c>
      <c r="I304" s="132" t="s">
        <v>2094</v>
      </c>
    </row>
    <row r="305" spans="8:9" x14ac:dyDescent="0.25">
      <c r="H305" s="72">
        <v>259</v>
      </c>
      <c r="I305" s="132" t="s">
        <v>2095</v>
      </c>
    </row>
    <row r="306" spans="8:9" x14ac:dyDescent="0.25">
      <c r="H306" s="72">
        <v>260</v>
      </c>
      <c r="I306" s="132" t="s">
        <v>2096</v>
      </c>
    </row>
    <row r="307" spans="8:9" x14ac:dyDescent="0.25">
      <c r="H307" s="72">
        <v>261</v>
      </c>
      <c r="I307" s="132" t="s">
        <v>2097</v>
      </c>
    </row>
    <row r="308" spans="8:9" x14ac:dyDescent="0.25">
      <c r="H308" s="72">
        <v>262</v>
      </c>
      <c r="I308" s="132" t="s">
        <v>2098</v>
      </c>
    </row>
    <row r="309" spans="8:9" x14ac:dyDescent="0.25">
      <c r="H309" s="72">
        <v>263</v>
      </c>
      <c r="I309" s="132" t="s">
        <v>2099</v>
      </c>
    </row>
    <row r="310" spans="8:9" x14ac:dyDescent="0.25">
      <c r="H310" s="72">
        <v>264</v>
      </c>
      <c r="I310" s="132" t="s">
        <v>2100</v>
      </c>
    </row>
    <row r="311" spans="8:9" x14ac:dyDescent="0.25">
      <c r="H311" s="72">
        <v>265</v>
      </c>
      <c r="I311" s="132" t="s">
        <v>2101</v>
      </c>
    </row>
    <row r="312" spans="8:9" x14ac:dyDescent="0.25">
      <c r="H312" s="72">
        <v>266</v>
      </c>
      <c r="I312" s="132" t="s">
        <v>2102</v>
      </c>
    </row>
    <row r="313" spans="8:9" x14ac:dyDescent="0.25">
      <c r="H313" s="72">
        <v>267</v>
      </c>
      <c r="I313" s="132" t="s">
        <v>2103</v>
      </c>
    </row>
    <row r="314" spans="8:9" x14ac:dyDescent="0.25">
      <c r="H314" s="72">
        <v>268</v>
      </c>
      <c r="I314" s="132" t="s">
        <v>2104</v>
      </c>
    </row>
    <row r="315" spans="8:9" x14ac:dyDescent="0.25">
      <c r="H315" s="72">
        <v>269</v>
      </c>
      <c r="I315" s="132" t="s">
        <v>2105</v>
      </c>
    </row>
    <row r="316" spans="8:9" x14ac:dyDescent="0.25">
      <c r="H316" s="72">
        <v>270</v>
      </c>
      <c r="I316" s="132" t="s">
        <v>2106</v>
      </c>
    </row>
    <row r="317" spans="8:9" x14ac:dyDescent="0.25">
      <c r="H317" s="72">
        <v>271</v>
      </c>
      <c r="I317" s="132" t="s">
        <v>2107</v>
      </c>
    </row>
    <row r="318" spans="8:9" x14ac:dyDescent="0.25">
      <c r="H318" s="72">
        <v>272</v>
      </c>
      <c r="I318" s="132" t="s">
        <v>2108</v>
      </c>
    </row>
    <row r="319" spans="8:9" x14ac:dyDescent="0.25">
      <c r="H319" s="72">
        <v>273</v>
      </c>
      <c r="I319" s="132" t="s">
        <v>2109</v>
      </c>
    </row>
    <row r="320" spans="8:9" x14ac:dyDescent="0.25">
      <c r="H320" s="72">
        <v>274</v>
      </c>
      <c r="I320" s="132" t="s">
        <v>2110</v>
      </c>
    </row>
    <row r="321" spans="8:9" x14ac:dyDescent="0.25">
      <c r="H321" s="72">
        <v>275</v>
      </c>
      <c r="I321" s="132" t="s">
        <v>2111</v>
      </c>
    </row>
    <row r="322" spans="8:9" x14ac:dyDescent="0.25">
      <c r="H322" s="72">
        <v>276</v>
      </c>
      <c r="I322" s="132" t="s">
        <v>2112</v>
      </c>
    </row>
    <row r="323" spans="8:9" x14ac:dyDescent="0.25">
      <c r="H323" s="72">
        <v>277</v>
      </c>
      <c r="I323" s="132" t="s">
        <v>2113</v>
      </c>
    </row>
    <row r="324" spans="8:9" x14ac:dyDescent="0.25">
      <c r="H324" s="72">
        <v>278</v>
      </c>
      <c r="I324" s="132" t="s">
        <v>2114</v>
      </c>
    </row>
    <row r="325" spans="8:9" x14ac:dyDescent="0.25">
      <c r="H325" s="72">
        <v>279</v>
      </c>
      <c r="I325" s="132" t="s">
        <v>2115</v>
      </c>
    </row>
    <row r="326" spans="8:9" x14ac:dyDescent="0.25">
      <c r="H326" s="72">
        <v>280</v>
      </c>
      <c r="I326" s="132" t="s">
        <v>2116</v>
      </c>
    </row>
    <row r="327" spans="8:9" x14ac:dyDescent="0.25">
      <c r="H327" s="72">
        <v>281</v>
      </c>
      <c r="I327" s="132" t="s">
        <v>2117</v>
      </c>
    </row>
    <row r="328" spans="8:9" x14ac:dyDescent="0.25">
      <c r="H328" s="72">
        <v>282</v>
      </c>
      <c r="I328" s="133"/>
    </row>
    <row r="329" spans="8:9" x14ac:dyDescent="0.25">
      <c r="H329" s="72">
        <v>283</v>
      </c>
      <c r="I329" s="132" t="s">
        <v>2118</v>
      </c>
    </row>
    <row r="330" spans="8:9" x14ac:dyDescent="0.25">
      <c r="H330" s="72">
        <v>284</v>
      </c>
      <c r="I330" s="132" t="s">
        <v>2119</v>
      </c>
    </row>
    <row r="331" spans="8:9" x14ac:dyDescent="0.25">
      <c r="H331" s="72">
        <v>285</v>
      </c>
      <c r="I331" s="132" t="s">
        <v>1860</v>
      </c>
    </row>
    <row r="332" spans="8:9" x14ac:dyDescent="0.25">
      <c r="H332" s="72">
        <v>286</v>
      </c>
      <c r="I332" s="132" t="s">
        <v>2120</v>
      </c>
    </row>
    <row r="333" spans="8:9" x14ac:dyDescent="0.25">
      <c r="H333" s="72">
        <v>287</v>
      </c>
      <c r="I333" s="132" t="s">
        <v>2121</v>
      </c>
    </row>
    <row r="334" spans="8:9" x14ac:dyDescent="0.25">
      <c r="H334" s="72">
        <v>288</v>
      </c>
      <c r="I334" s="132" t="s">
        <v>2122</v>
      </c>
    </row>
    <row r="335" spans="8:9" x14ac:dyDescent="0.25">
      <c r="H335" s="72">
        <v>289</v>
      </c>
      <c r="I335" s="132" t="s">
        <v>2123</v>
      </c>
    </row>
    <row r="336" spans="8:9" x14ac:dyDescent="0.25">
      <c r="H336" s="72">
        <v>290</v>
      </c>
      <c r="I336" s="132" t="s">
        <v>2124</v>
      </c>
    </row>
    <row r="337" spans="8:9" x14ac:dyDescent="0.25">
      <c r="H337" s="72">
        <v>291</v>
      </c>
      <c r="I337" s="132" t="s">
        <v>2125</v>
      </c>
    </row>
    <row r="338" spans="8:9" x14ac:dyDescent="0.25">
      <c r="H338" s="72">
        <v>292</v>
      </c>
      <c r="I338" s="132" t="s">
        <v>2126</v>
      </c>
    </row>
    <row r="339" spans="8:9" x14ac:dyDescent="0.25">
      <c r="H339" s="72">
        <v>293</v>
      </c>
      <c r="I339" s="132" t="s">
        <v>2127</v>
      </c>
    </row>
    <row r="340" spans="8:9" x14ac:dyDescent="0.25">
      <c r="H340" s="72">
        <v>294</v>
      </c>
      <c r="I340" s="132" t="s">
        <v>2128</v>
      </c>
    </row>
    <row r="341" spans="8:9" x14ac:dyDescent="0.25">
      <c r="H341" s="72">
        <v>295</v>
      </c>
      <c r="I341" s="132" t="s">
        <v>2129</v>
      </c>
    </row>
    <row r="342" spans="8:9" x14ac:dyDescent="0.25">
      <c r="H342" s="72">
        <v>296</v>
      </c>
      <c r="I342" s="132" t="s">
        <v>2130</v>
      </c>
    </row>
    <row r="343" spans="8:9" x14ac:dyDescent="0.25">
      <c r="H343" s="72">
        <v>297</v>
      </c>
      <c r="I343" s="132" t="s">
        <v>2131</v>
      </c>
    </row>
    <row r="344" spans="8:9" x14ac:dyDescent="0.25">
      <c r="H344" s="72">
        <v>298</v>
      </c>
      <c r="I344" s="132" t="s">
        <v>2132</v>
      </c>
    </row>
    <row r="345" spans="8:9" x14ac:dyDescent="0.25">
      <c r="H345" s="72">
        <v>299</v>
      </c>
      <c r="I345" s="132" t="s">
        <v>2133</v>
      </c>
    </row>
    <row r="346" spans="8:9" x14ac:dyDescent="0.25">
      <c r="H346" s="72">
        <v>300</v>
      </c>
      <c r="I346" s="132" t="s">
        <v>2134</v>
      </c>
    </row>
    <row r="347" spans="8:9" x14ac:dyDescent="0.25">
      <c r="H347" s="72">
        <v>301</v>
      </c>
      <c r="I347" s="132" t="s">
        <v>2135</v>
      </c>
    </row>
    <row r="348" spans="8:9" x14ac:dyDescent="0.25">
      <c r="H348" s="72">
        <v>302</v>
      </c>
      <c r="I348" s="132" t="s">
        <v>2136</v>
      </c>
    </row>
    <row r="349" spans="8:9" x14ac:dyDescent="0.25">
      <c r="H349" s="72">
        <v>303</v>
      </c>
      <c r="I349" s="132" t="s">
        <v>2137</v>
      </c>
    </row>
    <row r="350" spans="8:9" x14ac:dyDescent="0.25">
      <c r="H350" s="72">
        <v>304</v>
      </c>
      <c r="I350" s="132" t="s">
        <v>2138</v>
      </c>
    </row>
    <row r="351" spans="8:9" x14ac:dyDescent="0.25">
      <c r="H351" s="72">
        <v>305</v>
      </c>
      <c r="I351" s="132" t="s">
        <v>2139</v>
      </c>
    </row>
    <row r="352" spans="8:9" x14ac:dyDescent="0.25">
      <c r="H352" s="72">
        <v>306</v>
      </c>
      <c r="I352" s="132" t="s">
        <v>2140</v>
      </c>
    </row>
    <row r="353" spans="8:9" x14ac:dyDescent="0.25">
      <c r="H353" s="72">
        <v>307</v>
      </c>
      <c r="I353" s="132" t="s">
        <v>2141</v>
      </c>
    </row>
    <row r="354" spans="8:9" x14ac:dyDescent="0.25">
      <c r="H354" s="72">
        <v>308</v>
      </c>
      <c r="I354" s="132" t="s">
        <v>2142</v>
      </c>
    </row>
    <row r="355" spans="8:9" x14ac:dyDescent="0.25">
      <c r="H355" s="72">
        <v>309</v>
      </c>
      <c r="I355" s="132" t="s">
        <v>2143</v>
      </c>
    </row>
    <row r="356" spans="8:9" x14ac:dyDescent="0.25">
      <c r="H356" s="72">
        <v>310</v>
      </c>
      <c r="I356" s="132" t="s">
        <v>2144</v>
      </c>
    </row>
    <row r="357" spans="8:9" x14ac:dyDescent="0.25">
      <c r="H357" s="72">
        <v>311</v>
      </c>
      <c r="I357" s="132" t="s">
        <v>2145</v>
      </c>
    </row>
    <row r="358" spans="8:9" x14ac:dyDescent="0.25">
      <c r="H358" s="72">
        <v>312</v>
      </c>
      <c r="I358" s="132" t="s">
        <v>2146</v>
      </c>
    </row>
    <row r="359" spans="8:9" x14ac:dyDescent="0.25">
      <c r="H359" s="72">
        <v>313</v>
      </c>
      <c r="I359" s="132" t="s">
        <v>2147</v>
      </c>
    </row>
    <row r="360" spans="8:9" x14ac:dyDescent="0.25">
      <c r="H360" s="72">
        <v>314</v>
      </c>
      <c r="I360" s="132" t="s">
        <v>2148</v>
      </c>
    </row>
    <row r="361" spans="8:9" x14ac:dyDescent="0.25">
      <c r="H361" s="72">
        <v>315</v>
      </c>
      <c r="I361" s="132" t="s">
        <v>2149</v>
      </c>
    </row>
    <row r="362" spans="8:9" x14ac:dyDescent="0.25">
      <c r="H362" s="72">
        <v>316</v>
      </c>
      <c r="I362" s="132" t="s">
        <v>2150</v>
      </c>
    </row>
    <row r="363" spans="8:9" x14ac:dyDescent="0.25">
      <c r="H363" s="72">
        <v>317</v>
      </c>
      <c r="I363" s="132" t="s">
        <v>2151</v>
      </c>
    </row>
    <row r="364" spans="8:9" x14ac:dyDescent="0.25">
      <c r="H364" s="72">
        <v>318</v>
      </c>
      <c r="I364" s="132" t="s">
        <v>2152</v>
      </c>
    </row>
    <row r="365" spans="8:9" x14ac:dyDescent="0.25">
      <c r="H365" s="72">
        <v>319</v>
      </c>
      <c r="I365" s="132" t="s">
        <v>2153</v>
      </c>
    </row>
    <row r="366" spans="8:9" x14ac:dyDescent="0.25">
      <c r="H366" s="72">
        <v>320</v>
      </c>
      <c r="I366" s="133"/>
    </row>
    <row r="367" spans="8:9" x14ac:dyDescent="0.25">
      <c r="H367" s="72">
        <v>321</v>
      </c>
      <c r="I367" s="132" t="s">
        <v>2154</v>
      </c>
    </row>
    <row r="368" spans="8:9" x14ac:dyDescent="0.25">
      <c r="H368" s="72">
        <v>322</v>
      </c>
      <c r="I368" s="132" t="s">
        <v>2155</v>
      </c>
    </row>
    <row r="369" spans="8:9" x14ac:dyDescent="0.25">
      <c r="H369" s="72">
        <v>323</v>
      </c>
      <c r="I369" s="133"/>
    </row>
    <row r="370" spans="8:9" x14ac:dyDescent="0.25">
      <c r="H370" s="72">
        <v>324</v>
      </c>
      <c r="I370" s="132" t="s">
        <v>2156</v>
      </c>
    </row>
    <row r="371" spans="8:9" x14ac:dyDescent="0.25">
      <c r="H371" s="72">
        <v>325</v>
      </c>
      <c r="I371" s="132" t="s">
        <v>2157</v>
      </c>
    </row>
    <row r="372" spans="8:9" x14ac:dyDescent="0.25">
      <c r="H372" s="72">
        <v>326</v>
      </c>
      <c r="I372" s="132" t="s">
        <v>2158</v>
      </c>
    </row>
    <row r="373" spans="8:9" x14ac:dyDescent="0.25">
      <c r="H373" s="72">
        <v>327</v>
      </c>
      <c r="I373" s="133"/>
    </row>
    <row r="374" spans="8:9" x14ac:dyDescent="0.25">
      <c r="H374" s="72">
        <v>328</v>
      </c>
      <c r="I374" s="132" t="s">
        <v>2159</v>
      </c>
    </row>
    <row r="375" spans="8:9" x14ac:dyDescent="0.25">
      <c r="H375" s="72">
        <v>329</v>
      </c>
      <c r="I375" s="132" t="s">
        <v>2160</v>
      </c>
    </row>
    <row r="376" spans="8:9" x14ac:dyDescent="0.25">
      <c r="H376" s="72">
        <v>330</v>
      </c>
      <c r="I376" s="132" t="s">
        <v>2161</v>
      </c>
    </row>
    <row r="377" spans="8:9" x14ac:dyDescent="0.25">
      <c r="H377" s="72">
        <v>331</v>
      </c>
      <c r="I377" s="133"/>
    </row>
    <row r="378" spans="8:9" x14ac:dyDescent="0.25">
      <c r="H378" s="72">
        <v>332</v>
      </c>
      <c r="I378" s="132" t="s">
        <v>2162</v>
      </c>
    </row>
    <row r="379" spans="8:9" x14ac:dyDescent="0.25">
      <c r="H379" s="72">
        <v>333</v>
      </c>
      <c r="I379" s="132" t="s">
        <v>2163</v>
      </c>
    </row>
    <row r="380" spans="8:9" x14ac:dyDescent="0.25">
      <c r="H380" s="72">
        <v>334</v>
      </c>
      <c r="I380" s="132" t="s">
        <v>2164</v>
      </c>
    </row>
    <row r="381" spans="8:9" x14ac:dyDescent="0.25">
      <c r="H381" s="72">
        <v>335</v>
      </c>
      <c r="I381" s="132" t="s">
        <v>1960</v>
      </c>
    </row>
    <row r="382" spans="8:9" x14ac:dyDescent="0.25">
      <c r="H382" s="72">
        <v>336</v>
      </c>
      <c r="I382" s="132" t="s">
        <v>2165</v>
      </c>
    </row>
    <row r="383" spans="8:9" x14ac:dyDescent="0.25">
      <c r="H383" s="72">
        <v>337</v>
      </c>
      <c r="I383" s="132" t="s">
        <v>2166</v>
      </c>
    </row>
    <row r="384" spans="8:9" x14ac:dyDescent="0.25">
      <c r="H384" s="72">
        <v>338</v>
      </c>
      <c r="I384" s="133"/>
    </row>
    <row r="385" spans="8:9" x14ac:dyDescent="0.25">
      <c r="H385" s="72">
        <v>339</v>
      </c>
      <c r="I385" s="132" t="s">
        <v>2167</v>
      </c>
    </row>
    <row r="386" spans="8:9" x14ac:dyDescent="0.25">
      <c r="H386" s="72">
        <v>340</v>
      </c>
      <c r="I386" s="132" t="s">
        <v>2168</v>
      </c>
    </row>
    <row r="387" spans="8:9" x14ac:dyDescent="0.25">
      <c r="H387" s="72">
        <v>341</v>
      </c>
      <c r="I387" s="132" t="s">
        <v>2169</v>
      </c>
    </row>
    <row r="388" spans="8:9" x14ac:dyDescent="0.25">
      <c r="H388" s="72">
        <v>342</v>
      </c>
      <c r="I388" s="132" t="s">
        <v>2170</v>
      </c>
    </row>
    <row r="389" spans="8:9" x14ac:dyDescent="0.25">
      <c r="H389" s="72">
        <v>343</v>
      </c>
      <c r="I389" s="132" t="s">
        <v>2171</v>
      </c>
    </row>
    <row r="390" spans="8:9" x14ac:dyDescent="0.25">
      <c r="H390" s="72">
        <v>344</v>
      </c>
      <c r="I390" s="132" t="s">
        <v>2172</v>
      </c>
    </row>
    <row r="391" spans="8:9" x14ac:dyDescent="0.25">
      <c r="H391" s="72">
        <v>345</v>
      </c>
      <c r="I391" s="132" t="s">
        <v>2173</v>
      </c>
    </row>
    <row r="392" spans="8:9" x14ac:dyDescent="0.25">
      <c r="H392" s="72">
        <v>346</v>
      </c>
      <c r="I392" s="132" t="s">
        <v>2174</v>
      </c>
    </row>
    <row r="393" spans="8:9" x14ac:dyDescent="0.25">
      <c r="H393" s="72">
        <v>347</v>
      </c>
      <c r="I393" s="132" t="s">
        <v>2175</v>
      </c>
    </row>
    <row r="394" spans="8:9" x14ac:dyDescent="0.25">
      <c r="H394" s="72">
        <v>348</v>
      </c>
      <c r="I394" s="132" t="s">
        <v>2176</v>
      </c>
    </row>
    <row r="395" spans="8:9" x14ac:dyDescent="0.25">
      <c r="H395" s="72">
        <v>349</v>
      </c>
      <c r="I395" s="132" t="s">
        <v>2177</v>
      </c>
    </row>
    <row r="396" spans="8:9" x14ac:dyDescent="0.25">
      <c r="H396" s="72">
        <v>350</v>
      </c>
      <c r="I396" s="132" t="s">
        <v>2178</v>
      </c>
    </row>
    <row r="397" spans="8:9" x14ac:dyDescent="0.25">
      <c r="H397" s="72">
        <v>351</v>
      </c>
      <c r="I397" s="132" t="s">
        <v>2179</v>
      </c>
    </row>
    <row r="398" spans="8:9" x14ac:dyDescent="0.25">
      <c r="H398" s="72">
        <v>352</v>
      </c>
      <c r="I398" s="132" t="s">
        <v>2180</v>
      </c>
    </row>
    <row r="399" spans="8:9" x14ac:dyDescent="0.25">
      <c r="H399" s="72">
        <v>353</v>
      </c>
      <c r="I399" s="132" t="s">
        <v>2181</v>
      </c>
    </row>
    <row r="400" spans="8:9" x14ac:dyDescent="0.25">
      <c r="H400" s="72">
        <v>354</v>
      </c>
      <c r="I400" s="132" t="s">
        <v>2182</v>
      </c>
    </row>
    <row r="401" spans="8:9" x14ac:dyDescent="0.25">
      <c r="H401" s="72">
        <v>355</v>
      </c>
      <c r="I401" s="133"/>
    </row>
    <row r="402" spans="8:9" x14ac:dyDescent="0.25">
      <c r="H402" s="72">
        <v>356</v>
      </c>
      <c r="I402" s="132" t="s">
        <v>2183</v>
      </c>
    </row>
    <row r="403" spans="8:9" x14ac:dyDescent="0.25">
      <c r="H403" s="72">
        <v>357</v>
      </c>
      <c r="I403" s="132" t="s">
        <v>2184</v>
      </c>
    </row>
    <row r="404" spans="8:9" x14ac:dyDescent="0.25">
      <c r="H404" s="72">
        <v>358</v>
      </c>
      <c r="I404" s="132" t="s">
        <v>2185</v>
      </c>
    </row>
    <row r="405" spans="8:9" x14ac:dyDescent="0.25">
      <c r="H405" s="72">
        <v>359</v>
      </c>
      <c r="I405" s="132" t="s">
        <v>2186</v>
      </c>
    </row>
    <row r="406" spans="8:9" x14ac:dyDescent="0.25">
      <c r="H406" s="72">
        <v>360</v>
      </c>
      <c r="I406" s="132" t="s">
        <v>2187</v>
      </c>
    </row>
    <row r="407" spans="8:9" x14ac:dyDescent="0.25">
      <c r="H407" s="72">
        <v>361</v>
      </c>
      <c r="I407" s="133"/>
    </row>
    <row r="408" spans="8:9" x14ac:dyDescent="0.25">
      <c r="H408" s="72">
        <v>362</v>
      </c>
      <c r="I408" s="132" t="s">
        <v>2188</v>
      </c>
    </row>
    <row r="409" spans="8:9" x14ac:dyDescent="0.25">
      <c r="H409" s="72">
        <v>363</v>
      </c>
      <c r="I409" s="132" t="s">
        <v>2189</v>
      </c>
    </row>
    <row r="410" spans="8:9" x14ac:dyDescent="0.25">
      <c r="H410" s="72">
        <v>364</v>
      </c>
      <c r="I410" s="132" t="s">
        <v>1922</v>
      </c>
    </row>
    <row r="411" spans="8:9" x14ac:dyDescent="0.25">
      <c r="H411" s="72">
        <v>365</v>
      </c>
      <c r="I411" s="132" t="s">
        <v>2190</v>
      </c>
    </row>
    <row r="412" spans="8:9" x14ac:dyDescent="0.25">
      <c r="H412" s="72">
        <v>366</v>
      </c>
      <c r="I412" s="132" t="s">
        <v>2191</v>
      </c>
    </row>
    <row r="413" spans="8:9" x14ac:dyDescent="0.25">
      <c r="H413" s="72">
        <v>367</v>
      </c>
      <c r="I413" s="132" t="s">
        <v>2192</v>
      </c>
    </row>
    <row r="414" spans="8:9" x14ac:dyDescent="0.25">
      <c r="H414" s="72">
        <v>368</v>
      </c>
      <c r="I414" s="132" t="s">
        <v>2193</v>
      </c>
    </row>
    <row r="415" spans="8:9" x14ac:dyDescent="0.25">
      <c r="H415" s="72">
        <v>369</v>
      </c>
      <c r="I415" s="132" t="s">
        <v>2194</v>
      </c>
    </row>
    <row r="416" spans="8:9" x14ac:dyDescent="0.25">
      <c r="H416" s="72">
        <v>370</v>
      </c>
      <c r="I416" s="132" t="s">
        <v>2195</v>
      </c>
    </row>
    <row r="417" spans="8:9" x14ac:dyDescent="0.25">
      <c r="H417" s="72">
        <v>371</v>
      </c>
      <c r="I417" s="132" t="s">
        <v>2196</v>
      </c>
    </row>
    <row r="418" spans="8:9" x14ac:dyDescent="0.25">
      <c r="H418" s="72">
        <v>372</v>
      </c>
      <c r="I418" s="132" t="s">
        <v>2197</v>
      </c>
    </row>
    <row r="419" spans="8:9" x14ac:dyDescent="0.25">
      <c r="H419" s="72">
        <v>373</v>
      </c>
      <c r="I419" s="132" t="s">
        <v>2198</v>
      </c>
    </row>
    <row r="420" spans="8:9" x14ac:dyDescent="0.25">
      <c r="H420" s="72">
        <v>374</v>
      </c>
      <c r="I420" s="132" t="s">
        <v>2199</v>
      </c>
    </row>
    <row r="421" spans="8:9" x14ac:dyDescent="0.25">
      <c r="H421" s="72">
        <v>375</v>
      </c>
      <c r="I421" s="132" t="s">
        <v>2200</v>
      </c>
    </row>
    <row r="422" spans="8:9" x14ac:dyDescent="0.25">
      <c r="H422" s="72">
        <v>376</v>
      </c>
      <c r="I422" s="132" t="s">
        <v>2201</v>
      </c>
    </row>
    <row r="423" spans="8:9" x14ac:dyDescent="0.25">
      <c r="H423" s="72">
        <v>377</v>
      </c>
      <c r="I423" s="133"/>
    </row>
    <row r="424" spans="8:9" x14ac:dyDescent="0.25">
      <c r="H424" s="72">
        <v>378</v>
      </c>
      <c r="I424" s="132" t="s">
        <v>2202</v>
      </c>
    </row>
    <row r="425" spans="8:9" x14ac:dyDescent="0.25">
      <c r="H425" s="72">
        <v>379</v>
      </c>
      <c r="I425" s="132" t="s">
        <v>2203</v>
      </c>
    </row>
    <row r="426" spans="8:9" x14ac:dyDescent="0.25">
      <c r="H426" s="72">
        <v>380</v>
      </c>
      <c r="I426" s="132" t="s">
        <v>2204</v>
      </c>
    </row>
    <row r="427" spans="8:9" x14ac:dyDescent="0.25">
      <c r="H427" s="72">
        <v>381</v>
      </c>
      <c r="I427" s="132" t="s">
        <v>2205</v>
      </c>
    </row>
    <row r="428" spans="8:9" x14ac:dyDescent="0.25">
      <c r="H428" s="72">
        <v>382</v>
      </c>
      <c r="I428" s="132" t="s">
        <v>2206</v>
      </c>
    </row>
    <row r="429" spans="8:9" x14ac:dyDescent="0.25">
      <c r="H429" s="72">
        <v>383</v>
      </c>
      <c r="I429" s="132" t="s">
        <v>2207</v>
      </c>
    </row>
    <row r="430" spans="8:9" x14ac:dyDescent="0.25">
      <c r="H430" s="72">
        <v>384</v>
      </c>
      <c r="I430" s="132" t="s">
        <v>2208</v>
      </c>
    </row>
    <row r="431" spans="8:9" x14ac:dyDescent="0.25">
      <c r="H431" s="72">
        <v>385</v>
      </c>
      <c r="I431" s="132" t="s">
        <v>2209</v>
      </c>
    </row>
    <row r="432" spans="8:9" x14ac:dyDescent="0.25">
      <c r="H432" s="72">
        <v>386</v>
      </c>
      <c r="I432" s="132" t="s">
        <v>2210</v>
      </c>
    </row>
    <row r="433" spans="8:9" x14ac:dyDescent="0.25">
      <c r="H433" s="72">
        <v>387</v>
      </c>
      <c r="I433" s="132" t="s">
        <v>2211</v>
      </c>
    </row>
    <row r="434" spans="8:9" x14ac:dyDescent="0.25">
      <c r="H434" s="72">
        <v>388</v>
      </c>
      <c r="I434" s="132" t="s">
        <v>2212</v>
      </c>
    </row>
    <row r="435" spans="8:9" x14ac:dyDescent="0.25">
      <c r="H435" s="72">
        <v>389</v>
      </c>
      <c r="I435" s="132" t="s">
        <v>2213</v>
      </c>
    </row>
    <row r="436" spans="8:9" x14ac:dyDescent="0.25">
      <c r="H436" s="72">
        <v>390</v>
      </c>
      <c r="I436" s="132" t="s">
        <v>2214</v>
      </c>
    </row>
    <row r="437" spans="8:9" x14ac:dyDescent="0.25">
      <c r="H437" s="72">
        <v>391</v>
      </c>
      <c r="I437" s="132" t="s">
        <v>2215</v>
      </c>
    </row>
    <row r="438" spans="8:9" x14ac:dyDescent="0.25">
      <c r="H438" s="72">
        <v>392</v>
      </c>
      <c r="I438" s="132" t="s">
        <v>2216</v>
      </c>
    </row>
    <row r="439" spans="8:9" x14ac:dyDescent="0.25">
      <c r="H439" s="72">
        <v>393</v>
      </c>
      <c r="I439" s="132" t="s">
        <v>2217</v>
      </c>
    </row>
    <row r="440" spans="8:9" x14ac:dyDescent="0.25">
      <c r="H440" s="72">
        <v>394</v>
      </c>
      <c r="I440" s="132" t="s">
        <v>2218</v>
      </c>
    </row>
    <row r="441" spans="8:9" x14ac:dyDescent="0.25">
      <c r="H441" s="72">
        <v>395</v>
      </c>
      <c r="I441" s="132" t="s">
        <v>2219</v>
      </c>
    </row>
    <row r="442" spans="8:9" x14ac:dyDescent="0.25">
      <c r="H442" s="72">
        <v>396</v>
      </c>
      <c r="I442" s="132" t="s">
        <v>2220</v>
      </c>
    </row>
    <row r="443" spans="8:9" x14ac:dyDescent="0.25">
      <c r="H443" s="72">
        <v>397</v>
      </c>
      <c r="I443" s="132" t="s">
        <v>2221</v>
      </c>
    </row>
    <row r="444" spans="8:9" x14ac:dyDescent="0.25">
      <c r="H444" s="72">
        <v>398</v>
      </c>
      <c r="I444" s="132" t="s">
        <v>2222</v>
      </c>
    </row>
    <row r="445" spans="8:9" x14ac:dyDescent="0.25">
      <c r="H445" s="72">
        <v>399</v>
      </c>
      <c r="I445" s="132" t="s">
        <v>2223</v>
      </c>
    </row>
    <row r="446" spans="8:9" x14ac:dyDescent="0.25">
      <c r="H446" s="72">
        <v>400</v>
      </c>
      <c r="I446" s="132" t="s">
        <v>2224</v>
      </c>
    </row>
    <row r="447" spans="8:9" x14ac:dyDescent="0.25">
      <c r="H447" s="72">
        <v>401</v>
      </c>
      <c r="I447" s="132" t="s">
        <v>2225</v>
      </c>
    </row>
    <row r="448" spans="8:9" x14ac:dyDescent="0.25">
      <c r="H448" s="72">
        <v>402</v>
      </c>
      <c r="I448" s="132" t="s">
        <v>2226</v>
      </c>
    </row>
    <row r="449" spans="8:9" x14ac:dyDescent="0.25">
      <c r="H449" s="72">
        <v>403</v>
      </c>
      <c r="I449" s="132" t="s">
        <v>2227</v>
      </c>
    </row>
    <row r="450" spans="8:9" x14ac:dyDescent="0.25">
      <c r="H450" s="72">
        <v>404</v>
      </c>
      <c r="I450" s="132" t="s">
        <v>2228</v>
      </c>
    </row>
    <row r="451" spans="8:9" x14ac:dyDescent="0.25">
      <c r="H451" s="72">
        <v>405</v>
      </c>
      <c r="I451" s="132" t="s">
        <v>2229</v>
      </c>
    </row>
    <row r="452" spans="8:9" x14ac:dyDescent="0.25">
      <c r="H452" s="72">
        <v>406</v>
      </c>
      <c r="I452" s="132" t="s">
        <v>2230</v>
      </c>
    </row>
    <row r="453" spans="8:9" x14ac:dyDescent="0.25">
      <c r="H453" s="72">
        <v>407</v>
      </c>
      <c r="I453" s="132" t="s">
        <v>2231</v>
      </c>
    </row>
    <row r="454" spans="8:9" x14ac:dyDescent="0.25">
      <c r="H454" s="72">
        <v>408</v>
      </c>
      <c r="I454" s="132" t="s">
        <v>2232</v>
      </c>
    </row>
    <row r="455" spans="8:9" x14ac:dyDescent="0.25">
      <c r="H455" s="72">
        <v>409</v>
      </c>
      <c r="I455" s="132" t="s">
        <v>2233</v>
      </c>
    </row>
    <row r="456" spans="8:9" x14ac:dyDescent="0.25">
      <c r="H456" s="72">
        <v>410</v>
      </c>
      <c r="I456" s="132" t="s">
        <v>2234</v>
      </c>
    </row>
    <row r="457" spans="8:9" x14ac:dyDescent="0.25">
      <c r="H457" s="72">
        <v>411</v>
      </c>
      <c r="I457" s="132" t="s">
        <v>2235</v>
      </c>
    </row>
    <row r="458" spans="8:9" x14ac:dyDescent="0.25">
      <c r="H458" s="72">
        <v>412</v>
      </c>
      <c r="I458" s="132" t="s">
        <v>2236</v>
      </c>
    </row>
    <row r="459" spans="8:9" x14ac:dyDescent="0.25">
      <c r="H459" s="72">
        <v>413</v>
      </c>
      <c r="I459" s="132" t="s">
        <v>2237</v>
      </c>
    </row>
    <row r="460" spans="8:9" x14ac:dyDescent="0.25">
      <c r="H460" s="72">
        <v>414</v>
      </c>
      <c r="I460" s="132" t="s">
        <v>2238</v>
      </c>
    </row>
    <row r="461" spans="8:9" x14ac:dyDescent="0.25">
      <c r="H461" s="72">
        <v>415</v>
      </c>
      <c r="I461" s="133"/>
    </row>
    <row r="462" spans="8:9" x14ac:dyDescent="0.25">
      <c r="H462" s="72">
        <v>416</v>
      </c>
      <c r="I462" s="132" t="s">
        <v>2239</v>
      </c>
    </row>
    <row r="463" spans="8:9" x14ac:dyDescent="0.25">
      <c r="H463" s="72">
        <v>417</v>
      </c>
      <c r="I463" s="132" t="s">
        <v>2240</v>
      </c>
    </row>
    <row r="464" spans="8:9" x14ac:dyDescent="0.25">
      <c r="H464" s="72">
        <v>418</v>
      </c>
      <c r="I464" s="132" t="s">
        <v>2241</v>
      </c>
    </row>
    <row r="465" spans="8:9" x14ac:dyDescent="0.25">
      <c r="H465" s="72">
        <v>419</v>
      </c>
      <c r="I465" s="132" t="s">
        <v>2242</v>
      </c>
    </row>
    <row r="466" spans="8:9" x14ac:dyDescent="0.25">
      <c r="H466" s="72">
        <v>420</v>
      </c>
      <c r="I466" s="132" t="s">
        <v>2243</v>
      </c>
    </row>
    <row r="467" spans="8:9" x14ac:dyDescent="0.25">
      <c r="H467" s="72">
        <v>421</v>
      </c>
      <c r="I467" s="133"/>
    </row>
    <row r="468" spans="8:9" x14ac:dyDescent="0.25">
      <c r="H468" s="72">
        <v>422</v>
      </c>
      <c r="I468" s="132" t="s">
        <v>2244</v>
      </c>
    </row>
    <row r="469" spans="8:9" x14ac:dyDescent="0.25">
      <c r="H469" s="72">
        <v>423</v>
      </c>
      <c r="I469" s="132" t="s">
        <v>2245</v>
      </c>
    </row>
    <row r="470" spans="8:9" x14ac:dyDescent="0.25">
      <c r="H470" s="72">
        <v>424</v>
      </c>
      <c r="I470" s="132" t="s">
        <v>2246</v>
      </c>
    </row>
    <row r="471" spans="8:9" x14ac:dyDescent="0.25">
      <c r="H471" s="72">
        <v>425</v>
      </c>
      <c r="I471" s="132" t="s">
        <v>2247</v>
      </c>
    </row>
    <row r="472" spans="8:9" x14ac:dyDescent="0.25">
      <c r="H472" s="72">
        <v>426</v>
      </c>
      <c r="I472" s="132" t="s">
        <v>2248</v>
      </c>
    </row>
    <row r="473" spans="8:9" x14ac:dyDescent="0.25">
      <c r="H473" s="72">
        <v>427</v>
      </c>
      <c r="I473" s="132" t="s">
        <v>2249</v>
      </c>
    </row>
    <row r="474" spans="8:9" x14ac:dyDescent="0.25">
      <c r="H474" s="72">
        <v>428</v>
      </c>
      <c r="I474" s="132" t="s">
        <v>2250</v>
      </c>
    </row>
    <row r="475" spans="8:9" x14ac:dyDescent="0.25">
      <c r="H475" s="72">
        <v>429</v>
      </c>
      <c r="I475" s="132" t="s">
        <v>2251</v>
      </c>
    </row>
    <row r="476" spans="8:9" x14ac:dyDescent="0.25">
      <c r="H476" s="72">
        <v>430</v>
      </c>
      <c r="I476" s="132" t="s">
        <v>2252</v>
      </c>
    </row>
    <row r="477" spans="8:9" x14ac:dyDescent="0.25">
      <c r="H477" s="72">
        <v>431</v>
      </c>
      <c r="I477" s="132" t="s">
        <v>2253</v>
      </c>
    </row>
    <row r="478" spans="8:9" x14ac:dyDescent="0.25">
      <c r="H478" s="72">
        <v>432</v>
      </c>
      <c r="I478" s="132" t="s">
        <v>2254</v>
      </c>
    </row>
    <row r="479" spans="8:9" x14ac:dyDescent="0.25">
      <c r="H479" s="72">
        <v>433</v>
      </c>
      <c r="I479" s="132" t="s">
        <v>2255</v>
      </c>
    </row>
    <row r="480" spans="8:9" x14ac:dyDescent="0.25">
      <c r="H480" s="72">
        <v>434</v>
      </c>
      <c r="I480" s="132" t="s">
        <v>2256</v>
      </c>
    </row>
    <row r="481" spans="8:9" x14ac:dyDescent="0.25">
      <c r="H481" s="72">
        <v>435</v>
      </c>
      <c r="I481" s="132" t="s">
        <v>2257</v>
      </c>
    </row>
    <row r="482" spans="8:9" x14ac:dyDescent="0.25">
      <c r="H482" s="72">
        <v>436</v>
      </c>
      <c r="I482" s="132" t="s">
        <v>2258</v>
      </c>
    </row>
    <row r="483" spans="8:9" x14ac:dyDescent="0.25">
      <c r="H483" s="72">
        <v>437</v>
      </c>
      <c r="I483" s="132" t="s">
        <v>2259</v>
      </c>
    </row>
    <row r="484" spans="8:9" x14ac:dyDescent="0.25">
      <c r="H484" s="72">
        <v>438</v>
      </c>
      <c r="I484" s="132" t="s">
        <v>2260</v>
      </c>
    </row>
    <row r="485" spans="8:9" x14ac:dyDescent="0.25">
      <c r="H485" s="72">
        <v>439</v>
      </c>
      <c r="I485" s="132" t="s">
        <v>2261</v>
      </c>
    </row>
    <row r="486" spans="8:9" x14ac:dyDescent="0.25">
      <c r="H486" s="72">
        <v>440</v>
      </c>
      <c r="I486" s="132" t="s">
        <v>2262</v>
      </c>
    </row>
    <row r="487" spans="8:9" x14ac:dyDescent="0.25">
      <c r="H487" s="72">
        <v>441</v>
      </c>
      <c r="I487" s="132" t="s">
        <v>2263</v>
      </c>
    </row>
    <row r="488" spans="8:9" x14ac:dyDescent="0.25">
      <c r="H488" s="72">
        <v>442</v>
      </c>
      <c r="I488" s="132" t="s">
        <v>2264</v>
      </c>
    </row>
    <row r="489" spans="8:9" x14ac:dyDescent="0.25">
      <c r="H489" s="72">
        <v>443</v>
      </c>
      <c r="I489" s="132" t="s">
        <v>2265</v>
      </c>
    </row>
    <row r="490" spans="8:9" x14ac:dyDescent="0.25">
      <c r="H490" s="72">
        <v>444</v>
      </c>
      <c r="I490" s="132" t="s">
        <v>2266</v>
      </c>
    </row>
    <row r="491" spans="8:9" x14ac:dyDescent="0.25">
      <c r="H491" s="72">
        <v>445</v>
      </c>
      <c r="I491" s="132" t="s">
        <v>2267</v>
      </c>
    </row>
    <row r="492" spans="8:9" x14ac:dyDescent="0.25">
      <c r="H492" s="72">
        <v>446</v>
      </c>
      <c r="I492" s="132" t="s">
        <v>2268</v>
      </c>
    </row>
    <row r="493" spans="8:9" x14ac:dyDescent="0.25">
      <c r="H493" s="72">
        <v>447</v>
      </c>
      <c r="I493" s="132" t="s">
        <v>2269</v>
      </c>
    </row>
    <row r="494" spans="8:9" x14ac:dyDescent="0.25">
      <c r="H494" s="72">
        <v>448</v>
      </c>
      <c r="I494" s="132" t="s">
        <v>2270</v>
      </c>
    </row>
    <row r="495" spans="8:9" x14ac:dyDescent="0.25">
      <c r="H495" s="72">
        <v>449</v>
      </c>
      <c r="I495" s="132" t="s">
        <v>2271</v>
      </c>
    </row>
    <row r="496" spans="8:9" x14ac:dyDescent="0.25">
      <c r="H496" s="72">
        <v>450</v>
      </c>
      <c r="I496" s="132" t="s">
        <v>2272</v>
      </c>
    </row>
    <row r="497" spans="8:9" x14ac:dyDescent="0.25">
      <c r="H497" s="72">
        <v>451</v>
      </c>
      <c r="I497" s="132" t="s">
        <v>2273</v>
      </c>
    </row>
    <row r="498" spans="8:9" x14ac:dyDescent="0.25">
      <c r="H498" s="72">
        <v>452</v>
      </c>
      <c r="I498" s="133"/>
    </row>
    <row r="499" spans="8:9" x14ac:dyDescent="0.25">
      <c r="H499" s="72">
        <v>453</v>
      </c>
      <c r="I499" s="132" t="s">
        <v>2274</v>
      </c>
    </row>
    <row r="500" spans="8:9" x14ac:dyDescent="0.25">
      <c r="H500" s="72">
        <v>454</v>
      </c>
      <c r="I500" s="132" t="s">
        <v>2275</v>
      </c>
    </row>
    <row r="501" spans="8:9" x14ac:dyDescent="0.25">
      <c r="H501" s="72">
        <v>455</v>
      </c>
      <c r="I501" s="132" t="s">
        <v>2276</v>
      </c>
    </row>
    <row r="502" spans="8:9" x14ac:dyDescent="0.25">
      <c r="H502" s="72">
        <v>456</v>
      </c>
      <c r="I502" s="132" t="s">
        <v>2277</v>
      </c>
    </row>
    <row r="503" spans="8:9" x14ac:dyDescent="0.25">
      <c r="H503" s="72">
        <v>457</v>
      </c>
      <c r="I503" s="132" t="s">
        <v>2278</v>
      </c>
    </row>
    <row r="504" spans="8:9" x14ac:dyDescent="0.25">
      <c r="H504" s="72">
        <v>458</v>
      </c>
      <c r="I504" s="132" t="s">
        <v>2279</v>
      </c>
    </row>
    <row r="505" spans="8:9" x14ac:dyDescent="0.25">
      <c r="H505" s="72">
        <v>459</v>
      </c>
      <c r="I505" s="132" t="s">
        <v>2280</v>
      </c>
    </row>
    <row r="506" spans="8:9" x14ac:dyDescent="0.25">
      <c r="H506" s="72">
        <v>460</v>
      </c>
      <c r="I506" s="132" t="s">
        <v>2281</v>
      </c>
    </row>
    <row r="507" spans="8:9" x14ac:dyDescent="0.25">
      <c r="H507" s="72">
        <v>461</v>
      </c>
      <c r="I507" s="133"/>
    </row>
    <row r="508" spans="8:9" x14ac:dyDescent="0.25">
      <c r="H508" s="72">
        <v>462</v>
      </c>
      <c r="I508" s="132" t="s">
        <v>2282</v>
      </c>
    </row>
    <row r="509" spans="8:9" x14ac:dyDescent="0.25">
      <c r="H509" s="72">
        <v>463</v>
      </c>
      <c r="I509" s="132" t="s">
        <v>2283</v>
      </c>
    </row>
    <row r="510" spans="8:9" x14ac:dyDescent="0.25">
      <c r="H510" s="72">
        <v>464</v>
      </c>
      <c r="I510" s="133"/>
    </row>
    <row r="511" spans="8:9" x14ac:dyDescent="0.25">
      <c r="H511" s="72">
        <v>465</v>
      </c>
      <c r="I511" s="132" t="s">
        <v>2284</v>
      </c>
    </row>
    <row r="512" spans="8:9" x14ac:dyDescent="0.25">
      <c r="H512" s="72">
        <v>466</v>
      </c>
      <c r="I512" s="132" t="s">
        <v>2285</v>
      </c>
    </row>
    <row r="513" spans="8:9" x14ac:dyDescent="0.25">
      <c r="H513" s="72">
        <v>467</v>
      </c>
      <c r="I513" s="132" t="s">
        <v>2286</v>
      </c>
    </row>
    <row r="514" spans="8:9" x14ac:dyDescent="0.25">
      <c r="H514" s="72">
        <v>468</v>
      </c>
      <c r="I514" s="132" t="s">
        <v>2287</v>
      </c>
    </row>
    <row r="515" spans="8:9" x14ac:dyDescent="0.25">
      <c r="H515" s="72">
        <v>469</v>
      </c>
      <c r="I515" s="132" t="s">
        <v>2288</v>
      </c>
    </row>
    <row r="516" spans="8:9" x14ac:dyDescent="0.25">
      <c r="H516" s="72">
        <v>470</v>
      </c>
      <c r="I516" s="132" t="s">
        <v>2289</v>
      </c>
    </row>
    <row r="517" spans="8:9" x14ac:dyDescent="0.25">
      <c r="H517" s="72">
        <v>471</v>
      </c>
      <c r="I517" s="132" t="s">
        <v>2290</v>
      </c>
    </row>
    <row r="518" spans="8:9" x14ac:dyDescent="0.25">
      <c r="H518" s="72">
        <v>472</v>
      </c>
      <c r="I518" s="132" t="s">
        <v>2291</v>
      </c>
    </row>
    <row r="519" spans="8:9" x14ac:dyDescent="0.25">
      <c r="H519" s="72">
        <v>473</v>
      </c>
      <c r="I519" s="132" t="s">
        <v>2292</v>
      </c>
    </row>
    <row r="520" spans="8:9" x14ac:dyDescent="0.25">
      <c r="H520" s="72">
        <v>474</v>
      </c>
      <c r="I520" s="132" t="s">
        <v>2293</v>
      </c>
    </row>
    <row r="521" spans="8:9" x14ac:dyDescent="0.25">
      <c r="H521" s="72">
        <v>475</v>
      </c>
      <c r="I521" s="132" t="s">
        <v>2294</v>
      </c>
    </row>
    <row r="522" spans="8:9" x14ac:dyDescent="0.25">
      <c r="H522" s="72">
        <v>476</v>
      </c>
      <c r="I522" s="132" t="s">
        <v>2295</v>
      </c>
    </row>
    <row r="523" spans="8:9" x14ac:dyDescent="0.25">
      <c r="H523" s="72">
        <v>477</v>
      </c>
      <c r="I523" s="132" t="s">
        <v>2296</v>
      </c>
    </row>
    <row r="524" spans="8:9" x14ac:dyDescent="0.25">
      <c r="H524" s="72">
        <v>478</v>
      </c>
      <c r="I524" s="132" t="s">
        <v>2297</v>
      </c>
    </row>
    <row r="525" spans="8:9" x14ac:dyDescent="0.25">
      <c r="H525" s="72">
        <v>479</v>
      </c>
      <c r="I525" s="132" t="s">
        <v>2298</v>
      </c>
    </row>
    <row r="526" spans="8:9" x14ac:dyDescent="0.25">
      <c r="H526" s="72">
        <v>480</v>
      </c>
      <c r="I526" s="132" t="s">
        <v>2299</v>
      </c>
    </row>
    <row r="527" spans="8:9" x14ac:dyDescent="0.25">
      <c r="H527" s="72">
        <v>481</v>
      </c>
      <c r="I527" s="132" t="s">
        <v>2300</v>
      </c>
    </row>
    <row r="528" spans="8:9" x14ac:dyDescent="0.25">
      <c r="H528" s="72">
        <v>482</v>
      </c>
      <c r="I528" s="132" t="s">
        <v>2301</v>
      </c>
    </row>
    <row r="529" spans="8:9" x14ac:dyDescent="0.25">
      <c r="H529" s="72">
        <v>483</v>
      </c>
      <c r="I529" s="132" t="s">
        <v>2302</v>
      </c>
    </row>
    <row r="530" spans="8:9" x14ac:dyDescent="0.25">
      <c r="H530" s="72">
        <v>484</v>
      </c>
      <c r="I530" s="132" t="s">
        <v>2303</v>
      </c>
    </row>
    <row r="531" spans="8:9" x14ac:dyDescent="0.25">
      <c r="H531" s="72">
        <v>485</v>
      </c>
      <c r="I531" s="132" t="s">
        <v>2304</v>
      </c>
    </row>
    <row r="532" spans="8:9" x14ac:dyDescent="0.25">
      <c r="H532" s="72">
        <v>486</v>
      </c>
      <c r="I532" s="132" t="s">
        <v>2305</v>
      </c>
    </row>
    <row r="533" spans="8:9" x14ac:dyDescent="0.25">
      <c r="H533" s="72">
        <v>487</v>
      </c>
      <c r="I533" s="132" t="s">
        <v>2306</v>
      </c>
    </row>
    <row r="534" spans="8:9" x14ac:dyDescent="0.25">
      <c r="H534" s="72">
        <v>488</v>
      </c>
      <c r="I534" s="132" t="s">
        <v>2307</v>
      </c>
    </row>
    <row r="535" spans="8:9" x14ac:dyDescent="0.25">
      <c r="H535" s="72">
        <v>489</v>
      </c>
      <c r="I535" s="132" t="s">
        <v>2308</v>
      </c>
    </row>
    <row r="536" spans="8:9" x14ac:dyDescent="0.25">
      <c r="H536" s="72">
        <v>490</v>
      </c>
      <c r="I536" s="132" t="s">
        <v>2309</v>
      </c>
    </row>
    <row r="537" spans="8:9" x14ac:dyDescent="0.25">
      <c r="H537" s="72">
        <v>491</v>
      </c>
      <c r="I537" s="132" t="s">
        <v>1991</v>
      </c>
    </row>
    <row r="538" spans="8:9" x14ac:dyDescent="0.25">
      <c r="H538" s="72">
        <v>492</v>
      </c>
      <c r="I538" s="132" t="s">
        <v>2310</v>
      </c>
    </row>
    <row r="539" spans="8:9" x14ac:dyDescent="0.25">
      <c r="H539" s="72">
        <v>493</v>
      </c>
      <c r="I539" s="132" t="s">
        <v>2311</v>
      </c>
    </row>
    <row r="540" spans="8:9" x14ac:dyDescent="0.25">
      <c r="H540" s="72">
        <v>494</v>
      </c>
      <c r="I540" s="132" t="s">
        <v>2312</v>
      </c>
    </row>
    <row r="541" spans="8:9" x14ac:dyDescent="0.25">
      <c r="H541" s="72">
        <v>495</v>
      </c>
      <c r="I541" s="132" t="s">
        <v>2313</v>
      </c>
    </row>
    <row r="542" spans="8:9" x14ac:dyDescent="0.25">
      <c r="H542" s="72">
        <v>496</v>
      </c>
      <c r="I542" s="132" t="s">
        <v>2314</v>
      </c>
    </row>
    <row r="543" spans="8:9" x14ac:dyDescent="0.25">
      <c r="H543" s="72">
        <v>497</v>
      </c>
      <c r="I543" s="132" t="s">
        <v>2315</v>
      </c>
    </row>
    <row r="544" spans="8:9" x14ac:dyDescent="0.25">
      <c r="H544" s="72">
        <v>498</v>
      </c>
      <c r="I544" s="132" t="s">
        <v>2316</v>
      </c>
    </row>
    <row r="545" spans="8:9" x14ac:dyDescent="0.25">
      <c r="H545" s="72">
        <v>499</v>
      </c>
      <c r="I545" s="132" t="s">
        <v>2317</v>
      </c>
    </row>
    <row r="546" spans="8:9" x14ac:dyDescent="0.25">
      <c r="H546" s="72">
        <v>500</v>
      </c>
      <c r="I546" s="132" t="s">
        <v>2318</v>
      </c>
    </row>
    <row r="547" spans="8:9" x14ac:dyDescent="0.25">
      <c r="H547" s="72">
        <v>501</v>
      </c>
      <c r="I547" s="132" t="s">
        <v>2319</v>
      </c>
    </row>
    <row r="548" spans="8:9" x14ac:dyDescent="0.25">
      <c r="H548" s="72">
        <v>502</v>
      </c>
      <c r="I548" s="132" t="s">
        <v>2320</v>
      </c>
    </row>
    <row r="549" spans="8:9" x14ac:dyDescent="0.25">
      <c r="H549" s="72">
        <v>503</v>
      </c>
      <c r="I549" s="132" t="s">
        <v>2321</v>
      </c>
    </row>
    <row r="550" spans="8:9" x14ac:dyDescent="0.25">
      <c r="H550" s="72">
        <v>504</v>
      </c>
      <c r="I550" s="132" t="s">
        <v>2322</v>
      </c>
    </row>
    <row r="551" spans="8:9" x14ac:dyDescent="0.25">
      <c r="H551" s="72">
        <v>505</v>
      </c>
      <c r="I551" s="132" t="s">
        <v>2323</v>
      </c>
    </row>
    <row r="552" spans="8:9" x14ac:dyDescent="0.25">
      <c r="H552" s="72">
        <v>506</v>
      </c>
      <c r="I552" s="132" t="s">
        <v>2324</v>
      </c>
    </row>
    <row r="553" spans="8:9" x14ac:dyDescent="0.25">
      <c r="H553" s="72">
        <v>507</v>
      </c>
      <c r="I553" s="132" t="s">
        <v>2325</v>
      </c>
    </row>
    <row r="554" spans="8:9" x14ac:dyDescent="0.25">
      <c r="H554" s="72">
        <v>508</v>
      </c>
      <c r="I554" s="132" t="s">
        <v>2326</v>
      </c>
    </row>
    <row r="555" spans="8:9" x14ac:dyDescent="0.25">
      <c r="H555" s="72">
        <v>509</v>
      </c>
      <c r="I555" s="132" t="s">
        <v>2327</v>
      </c>
    </row>
    <row r="556" spans="8:9" x14ac:dyDescent="0.25">
      <c r="H556" s="72">
        <v>510</v>
      </c>
      <c r="I556" s="132" t="s">
        <v>2328</v>
      </c>
    </row>
    <row r="557" spans="8:9" x14ac:dyDescent="0.25">
      <c r="H557" s="72">
        <v>511</v>
      </c>
      <c r="I557" s="132" t="s">
        <v>2329</v>
      </c>
    </row>
    <row r="558" spans="8:9" x14ac:dyDescent="0.25">
      <c r="H558" s="72">
        <v>512</v>
      </c>
      <c r="I558" s="132" t="s">
        <v>2330</v>
      </c>
    </row>
    <row r="559" spans="8:9" x14ac:dyDescent="0.25">
      <c r="H559" s="72">
        <v>513</v>
      </c>
      <c r="I559" s="132" t="s">
        <v>2331</v>
      </c>
    </row>
    <row r="560" spans="8:9" x14ac:dyDescent="0.25">
      <c r="H560" s="72">
        <v>514</v>
      </c>
      <c r="I560" s="132" t="s">
        <v>2332</v>
      </c>
    </row>
    <row r="561" spans="8:9" x14ac:dyDescent="0.25">
      <c r="H561" s="72">
        <v>515</v>
      </c>
      <c r="I561" s="132" t="s">
        <v>2333</v>
      </c>
    </row>
    <row r="562" spans="8:9" x14ac:dyDescent="0.25">
      <c r="H562" s="72">
        <v>516</v>
      </c>
      <c r="I562" s="132" t="s">
        <v>2334</v>
      </c>
    </row>
    <row r="563" spans="8:9" x14ac:dyDescent="0.25">
      <c r="H563" s="72">
        <v>517</v>
      </c>
      <c r="I563" s="132" t="s">
        <v>2335</v>
      </c>
    </row>
    <row r="564" spans="8:9" x14ac:dyDescent="0.25">
      <c r="H564" s="72">
        <v>518</v>
      </c>
      <c r="I564" s="132" t="s">
        <v>2336</v>
      </c>
    </row>
    <row r="565" spans="8:9" x14ac:dyDescent="0.25">
      <c r="H565" s="72">
        <v>519</v>
      </c>
      <c r="I565" s="132" t="s">
        <v>2337</v>
      </c>
    </row>
    <row r="566" spans="8:9" x14ac:dyDescent="0.25">
      <c r="H566" s="72">
        <v>520</v>
      </c>
      <c r="I566" s="132" t="s">
        <v>2338</v>
      </c>
    </row>
    <row r="567" spans="8:9" x14ac:dyDescent="0.25">
      <c r="H567" s="72">
        <v>521</v>
      </c>
      <c r="I567" s="133"/>
    </row>
    <row r="568" spans="8:9" x14ac:dyDescent="0.25">
      <c r="H568" s="72">
        <v>522</v>
      </c>
      <c r="I568" s="132" t="s">
        <v>2339</v>
      </c>
    </row>
    <row r="569" spans="8:9" x14ac:dyDescent="0.25">
      <c r="H569" s="72">
        <v>523</v>
      </c>
      <c r="I569" s="132" t="s">
        <v>2340</v>
      </c>
    </row>
    <row r="570" spans="8:9" x14ac:dyDescent="0.25">
      <c r="H570" s="72">
        <v>524</v>
      </c>
      <c r="I570" s="132" t="s">
        <v>2341</v>
      </c>
    </row>
    <row r="571" spans="8:9" x14ac:dyDescent="0.25">
      <c r="H571" s="72">
        <v>525</v>
      </c>
      <c r="I571" s="132" t="s">
        <v>2342</v>
      </c>
    </row>
    <row r="572" spans="8:9" x14ac:dyDescent="0.25">
      <c r="H572" s="72">
        <v>526</v>
      </c>
      <c r="I572" s="132" t="s">
        <v>2343</v>
      </c>
    </row>
    <row r="573" spans="8:9" x14ac:dyDescent="0.25">
      <c r="H573" s="72">
        <v>527</v>
      </c>
      <c r="I573" s="132" t="s">
        <v>2344</v>
      </c>
    </row>
    <row r="574" spans="8:9" x14ac:dyDescent="0.25">
      <c r="H574" s="72">
        <v>528</v>
      </c>
      <c r="I574" s="132" t="s">
        <v>2345</v>
      </c>
    </row>
    <row r="575" spans="8:9" x14ac:dyDescent="0.25">
      <c r="H575" s="72">
        <v>529</v>
      </c>
      <c r="I575" s="133"/>
    </row>
    <row r="576" spans="8:9" x14ac:dyDescent="0.25">
      <c r="H576" s="72">
        <v>530</v>
      </c>
      <c r="I576" s="132" t="s">
        <v>2346</v>
      </c>
    </row>
    <row r="577" spans="8:9" x14ac:dyDescent="0.25">
      <c r="H577" s="72">
        <v>531</v>
      </c>
      <c r="I577" s="132" t="s">
        <v>2347</v>
      </c>
    </row>
    <row r="578" spans="8:9" x14ac:dyDescent="0.25">
      <c r="H578" s="72">
        <v>532</v>
      </c>
      <c r="I578" s="132" t="s">
        <v>2348</v>
      </c>
    </row>
    <row r="579" spans="8:9" x14ac:dyDescent="0.25">
      <c r="H579" s="72">
        <v>533</v>
      </c>
      <c r="I579" s="132" t="s">
        <v>2349</v>
      </c>
    </row>
    <row r="580" spans="8:9" x14ac:dyDescent="0.25">
      <c r="H580" s="72">
        <v>534</v>
      </c>
      <c r="I580" s="132" t="s">
        <v>2350</v>
      </c>
    </row>
    <row r="581" spans="8:9" x14ac:dyDescent="0.25">
      <c r="H581" s="72">
        <v>535</v>
      </c>
      <c r="I581" s="132" t="s">
        <v>2351</v>
      </c>
    </row>
    <row r="582" spans="8:9" x14ac:dyDescent="0.25">
      <c r="H582" s="72">
        <v>536</v>
      </c>
      <c r="I582" s="132" t="s">
        <v>2352</v>
      </c>
    </row>
    <row r="583" spans="8:9" x14ac:dyDescent="0.25">
      <c r="H583" s="72">
        <v>537</v>
      </c>
      <c r="I583" s="132" t="s">
        <v>2353</v>
      </c>
    </row>
    <row r="584" spans="8:9" x14ac:dyDescent="0.25">
      <c r="H584" s="72">
        <v>538</v>
      </c>
      <c r="I584" s="132" t="s">
        <v>2354</v>
      </c>
    </row>
    <row r="585" spans="8:9" x14ac:dyDescent="0.25">
      <c r="H585" s="72">
        <v>539</v>
      </c>
      <c r="I585" s="132" t="s">
        <v>2355</v>
      </c>
    </row>
    <row r="586" spans="8:9" x14ac:dyDescent="0.25">
      <c r="H586" s="72">
        <v>540</v>
      </c>
      <c r="I586" s="132" t="s">
        <v>2356</v>
      </c>
    </row>
    <row r="587" spans="8:9" x14ac:dyDescent="0.25">
      <c r="H587" s="72">
        <v>541</v>
      </c>
      <c r="I587" s="132" t="s">
        <v>2357</v>
      </c>
    </row>
    <row r="588" spans="8:9" x14ac:dyDescent="0.25">
      <c r="H588" s="72">
        <v>542</v>
      </c>
      <c r="I588" s="132" t="s">
        <v>2358</v>
      </c>
    </row>
    <row r="589" spans="8:9" x14ac:dyDescent="0.25">
      <c r="H589" s="72">
        <v>543</v>
      </c>
      <c r="I589" s="132" t="s">
        <v>2359</v>
      </c>
    </row>
    <row r="590" spans="8:9" x14ac:dyDescent="0.25">
      <c r="H590" s="72">
        <v>544</v>
      </c>
      <c r="I590" s="132" t="s">
        <v>2360</v>
      </c>
    </row>
    <row r="591" spans="8:9" x14ac:dyDescent="0.25">
      <c r="H591" s="72">
        <v>545</v>
      </c>
      <c r="I591" s="132" t="s">
        <v>2361</v>
      </c>
    </row>
    <row r="592" spans="8:9" x14ac:dyDescent="0.25">
      <c r="H592" s="72">
        <v>546</v>
      </c>
      <c r="I592" s="132" t="s">
        <v>2362</v>
      </c>
    </row>
    <row r="593" spans="8:9" x14ac:dyDescent="0.25">
      <c r="H593" s="72">
        <v>547</v>
      </c>
      <c r="I593" s="132" t="s">
        <v>2363</v>
      </c>
    </row>
    <row r="594" spans="8:9" x14ac:dyDescent="0.25">
      <c r="H594" s="72">
        <v>548</v>
      </c>
      <c r="I594" s="132" t="s">
        <v>2364</v>
      </c>
    </row>
    <row r="595" spans="8:9" x14ac:dyDescent="0.25">
      <c r="H595" s="72">
        <v>549</v>
      </c>
      <c r="I595" s="132" t="s">
        <v>2365</v>
      </c>
    </row>
    <row r="596" spans="8:9" x14ac:dyDescent="0.25">
      <c r="H596" s="72">
        <v>550</v>
      </c>
      <c r="I596" s="132" t="s">
        <v>2366</v>
      </c>
    </row>
    <row r="597" spans="8:9" x14ac:dyDescent="0.25">
      <c r="H597" s="72">
        <v>551</v>
      </c>
      <c r="I597" s="132" t="s">
        <v>2367</v>
      </c>
    </row>
    <row r="598" spans="8:9" x14ac:dyDescent="0.25">
      <c r="H598" s="72">
        <v>552</v>
      </c>
      <c r="I598" s="132" t="s">
        <v>2368</v>
      </c>
    </row>
    <row r="599" spans="8:9" x14ac:dyDescent="0.25">
      <c r="H599" s="72">
        <v>553</v>
      </c>
      <c r="I599" s="132" t="s">
        <v>2369</v>
      </c>
    </row>
    <row r="600" spans="8:9" x14ac:dyDescent="0.25">
      <c r="H600" s="72">
        <v>554</v>
      </c>
      <c r="I600" s="132" t="s">
        <v>2370</v>
      </c>
    </row>
    <row r="601" spans="8:9" x14ac:dyDescent="0.25">
      <c r="H601" s="72">
        <v>555</v>
      </c>
      <c r="I601" s="132" t="s">
        <v>2371</v>
      </c>
    </row>
    <row r="602" spans="8:9" x14ac:dyDescent="0.25">
      <c r="H602" s="72">
        <v>556</v>
      </c>
      <c r="I602" s="132" t="s">
        <v>2372</v>
      </c>
    </row>
    <row r="603" spans="8:9" x14ac:dyDescent="0.25">
      <c r="H603" s="72">
        <v>557</v>
      </c>
      <c r="I603" s="132" t="s">
        <v>2373</v>
      </c>
    </row>
    <row r="604" spans="8:9" x14ac:dyDescent="0.25">
      <c r="H604" s="72">
        <v>558</v>
      </c>
      <c r="I604" s="132" t="s">
        <v>2374</v>
      </c>
    </row>
    <row r="605" spans="8:9" x14ac:dyDescent="0.25">
      <c r="H605" s="72">
        <v>559</v>
      </c>
      <c r="I605" s="132" t="s">
        <v>2375</v>
      </c>
    </row>
    <row r="606" spans="8:9" x14ac:dyDescent="0.25">
      <c r="H606" s="72">
        <v>560</v>
      </c>
      <c r="I606" s="132" t="s">
        <v>2376</v>
      </c>
    </row>
    <row r="607" spans="8:9" x14ac:dyDescent="0.25">
      <c r="H607" s="72">
        <v>561</v>
      </c>
      <c r="I607" s="132" t="s">
        <v>2377</v>
      </c>
    </row>
    <row r="608" spans="8:9" x14ac:dyDescent="0.25">
      <c r="H608" s="72">
        <v>562</v>
      </c>
      <c r="I608" s="132" t="s">
        <v>2378</v>
      </c>
    </row>
    <row r="609" spans="8:9" x14ac:dyDescent="0.25">
      <c r="H609" s="72">
        <v>563</v>
      </c>
      <c r="I609" s="132" t="s">
        <v>2379</v>
      </c>
    </row>
    <row r="610" spans="8:9" x14ac:dyDescent="0.25">
      <c r="H610" s="72">
        <v>564</v>
      </c>
      <c r="I610" s="132" t="s">
        <v>2380</v>
      </c>
    </row>
    <row r="611" spans="8:9" x14ac:dyDescent="0.25">
      <c r="H611" s="72">
        <v>565</v>
      </c>
      <c r="I611" s="132" t="s">
        <v>2381</v>
      </c>
    </row>
    <row r="612" spans="8:9" x14ac:dyDescent="0.25">
      <c r="H612" s="72">
        <v>566</v>
      </c>
      <c r="I612" s="132" t="s">
        <v>2382</v>
      </c>
    </row>
    <row r="613" spans="8:9" x14ac:dyDescent="0.25">
      <c r="H613" s="72">
        <v>567</v>
      </c>
      <c r="I613" s="132" t="s">
        <v>2383</v>
      </c>
    </row>
    <row r="614" spans="8:9" x14ac:dyDescent="0.25">
      <c r="H614" s="72">
        <v>568</v>
      </c>
      <c r="I614" s="132" t="s">
        <v>2384</v>
      </c>
    </row>
    <row r="615" spans="8:9" x14ac:dyDescent="0.25">
      <c r="H615" s="72">
        <v>569</v>
      </c>
      <c r="I615" s="132" t="s">
        <v>2385</v>
      </c>
    </row>
    <row r="616" spans="8:9" x14ac:dyDescent="0.25">
      <c r="H616" s="72">
        <v>570</v>
      </c>
      <c r="I616" s="132" t="s">
        <v>2386</v>
      </c>
    </row>
    <row r="617" spans="8:9" x14ac:dyDescent="0.25">
      <c r="H617" s="72">
        <v>571</v>
      </c>
      <c r="I617" s="132" t="s">
        <v>2387</v>
      </c>
    </row>
    <row r="618" spans="8:9" x14ac:dyDescent="0.25">
      <c r="H618" s="72">
        <v>572</v>
      </c>
      <c r="I618" s="132" t="s">
        <v>2388</v>
      </c>
    </row>
    <row r="619" spans="8:9" x14ac:dyDescent="0.25">
      <c r="H619" s="72">
        <v>573</v>
      </c>
      <c r="I619" s="132" t="s">
        <v>2389</v>
      </c>
    </row>
    <row r="620" spans="8:9" x14ac:dyDescent="0.25">
      <c r="H620" s="72">
        <v>574</v>
      </c>
      <c r="I620" s="132" t="s">
        <v>2390</v>
      </c>
    </row>
    <row r="621" spans="8:9" x14ac:dyDescent="0.25">
      <c r="H621" s="72">
        <v>575</v>
      </c>
      <c r="I621" s="132" t="s">
        <v>2391</v>
      </c>
    </row>
    <row r="622" spans="8:9" x14ac:dyDescent="0.25">
      <c r="H622" s="72">
        <v>576</v>
      </c>
      <c r="I622" s="132" t="s">
        <v>2392</v>
      </c>
    </row>
  </sheetData>
  <conditionalFormatting sqref="I9:I19">
    <cfRule type="dataBar" priority="1">
      <dataBar showValue="0">
        <cfvo type="min"/>
        <cfvo type="max"/>
        <color rgb="FF63C384"/>
      </dataBar>
      <extLst>
        <ext xmlns:x14="http://schemas.microsoft.com/office/spreadsheetml/2009/9/main" uri="{B025F937-C7B1-47D3-B67F-A62EFF666E3E}">
          <x14:id>{84948C8F-CB8B-452B-B203-A47331DF1569}</x14:id>
        </ext>
      </extLst>
    </cfRule>
  </conditionalFormatting>
  <dataValidations count="1">
    <dataValidation type="custom" allowBlank="1" showInputMessage="1" showErrorMessage="1" errorTitle="ERROR:" error="INPUT NUMBERS ONLY.PLEASE,DON&quot;T INPUT ANY TEXT OR SYMBOL._x000a_" sqref="E39" xr:uid="{E8746A5B-3792-4B68-BE14-46429206A826}">
      <formula1>ISNUMBER(E39)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7177" r:id="rId4" name="TextBox1">
          <controlPr defaultSize="0" autoLine="0" linkedCell="B39" r:id="rId5">
            <anchor moveWithCells="1">
              <from>
                <xdr:col>4</xdr:col>
                <xdr:colOff>19050</xdr:colOff>
                <xdr:row>44</xdr:row>
                <xdr:rowOff>9525</xdr:rowOff>
              </from>
              <to>
                <xdr:col>5</xdr:col>
                <xdr:colOff>409575</xdr:colOff>
                <xdr:row>45</xdr:row>
                <xdr:rowOff>47625</xdr:rowOff>
              </to>
            </anchor>
          </controlPr>
        </control>
      </mc:Choice>
      <mc:Fallback>
        <control shapeId="7177" r:id="rId4" name="TextBox1"/>
      </mc:Fallback>
    </mc:AlternateContent>
    <mc:AlternateContent xmlns:mc="http://schemas.openxmlformats.org/markup-compatibility/2006">
      <mc:Choice Requires="x14">
        <control shapeId="7178" r:id="rId6" name="TextBox2">
          <controlPr defaultSize="0" autoLine="0" linkedCell="C39" r:id="rId5">
            <anchor moveWithCells="1">
              <from>
                <xdr:col>4</xdr:col>
                <xdr:colOff>19050</xdr:colOff>
                <xdr:row>46</xdr:row>
                <xdr:rowOff>19050</xdr:rowOff>
              </from>
              <to>
                <xdr:col>5</xdr:col>
                <xdr:colOff>409575</xdr:colOff>
                <xdr:row>47</xdr:row>
                <xdr:rowOff>57150</xdr:rowOff>
              </to>
            </anchor>
          </controlPr>
        </control>
      </mc:Choice>
      <mc:Fallback>
        <control shapeId="7178" r:id="rId6" name="TextBox2"/>
      </mc:Fallback>
    </mc:AlternateContent>
    <mc:AlternateContent xmlns:mc="http://schemas.openxmlformats.org/markup-compatibility/2006">
      <mc:Choice Requires="x14">
        <control shapeId="7179" r:id="rId7" name="TextBox3">
          <controlPr defaultSize="0" autoLine="0" linkedCell="E39" r:id="rId5">
            <anchor moveWithCells="1">
              <from>
                <xdr:col>4</xdr:col>
                <xdr:colOff>19050</xdr:colOff>
                <xdr:row>49</xdr:row>
                <xdr:rowOff>57150</xdr:rowOff>
              </from>
              <to>
                <xdr:col>5</xdr:col>
                <xdr:colOff>409575</xdr:colOff>
                <xdr:row>50</xdr:row>
                <xdr:rowOff>200025</xdr:rowOff>
              </to>
            </anchor>
          </controlPr>
        </control>
      </mc:Choice>
      <mc:Fallback>
        <control shapeId="7179" r:id="rId7" name="TextBox3"/>
      </mc:Fallback>
    </mc:AlternateContent>
    <mc:AlternateContent xmlns:mc="http://schemas.openxmlformats.org/markup-compatibility/2006">
      <mc:Choice Requires="x14">
        <control shapeId="7180" r:id="rId8" name="TextBox4">
          <controlPr defaultSize="0" autoLine="0" linkedCell="F39" r:id="rId5">
            <anchor moveWithCells="1">
              <from>
                <xdr:col>4</xdr:col>
                <xdr:colOff>19050</xdr:colOff>
                <xdr:row>52</xdr:row>
                <xdr:rowOff>0</xdr:rowOff>
              </from>
              <to>
                <xdr:col>5</xdr:col>
                <xdr:colOff>409575</xdr:colOff>
                <xdr:row>53</xdr:row>
                <xdr:rowOff>38100</xdr:rowOff>
              </to>
            </anchor>
          </controlPr>
        </control>
      </mc:Choice>
      <mc:Fallback>
        <control shapeId="7180" r:id="rId8" name="TextBox4"/>
      </mc:Fallback>
    </mc:AlternateContent>
    <mc:AlternateContent xmlns:mc="http://schemas.openxmlformats.org/markup-compatibility/2006">
      <mc:Choice Requires="x14">
        <control shapeId="7181" r:id="rId9" name="TextBox5">
          <controlPr defaultSize="0" autoLine="0" linkedCell="L39" r:id="rId5">
            <anchor moveWithCells="1">
              <from>
                <xdr:col>4</xdr:col>
                <xdr:colOff>19050</xdr:colOff>
                <xdr:row>64</xdr:row>
                <xdr:rowOff>19050</xdr:rowOff>
              </from>
              <to>
                <xdr:col>5</xdr:col>
                <xdr:colOff>409575</xdr:colOff>
                <xdr:row>65</xdr:row>
                <xdr:rowOff>57150</xdr:rowOff>
              </to>
            </anchor>
          </controlPr>
        </control>
      </mc:Choice>
      <mc:Fallback>
        <control shapeId="7181" r:id="rId9" name="TextBox5"/>
      </mc:Fallback>
    </mc:AlternateContent>
    <mc:AlternateContent xmlns:mc="http://schemas.openxmlformats.org/markup-compatibility/2006">
      <mc:Choice Requires="x14">
        <control shapeId="7182" r:id="rId10" name="Option Button 14">
          <controlPr defaultSize="0" autoFill="0" autoLine="0" autoPict="0">
            <anchor moveWithCells="1">
              <from>
                <xdr:col>4</xdr:col>
                <xdr:colOff>19050</xdr:colOff>
                <xdr:row>48</xdr:row>
                <xdr:rowOff>0</xdr:rowOff>
              </from>
              <to>
                <xdr:col>4</xdr:col>
                <xdr:colOff>619125</xdr:colOff>
                <xdr:row>49</xdr:row>
                <xdr:rowOff>19050</xdr:rowOff>
              </to>
            </anchor>
          </controlPr>
        </control>
      </mc:Choice>
    </mc:AlternateContent>
    <mc:AlternateContent xmlns:mc="http://schemas.openxmlformats.org/markup-compatibility/2006">
      <mc:Choice Requires="x14">
        <control shapeId="7183" r:id="rId11" name="Option Button 15">
          <controlPr defaultSize="0" autoFill="0" autoLine="0" autoPict="0">
            <anchor moveWithCells="1">
              <from>
                <xdr:col>4</xdr:col>
                <xdr:colOff>847725</xdr:colOff>
                <xdr:row>48</xdr:row>
                <xdr:rowOff>0</xdr:rowOff>
              </from>
              <to>
                <xdr:col>4</xdr:col>
                <xdr:colOff>1447800</xdr:colOff>
                <xdr:row>49</xdr:row>
                <xdr:rowOff>19050</xdr:rowOff>
              </to>
            </anchor>
          </controlPr>
        </control>
      </mc:Choice>
    </mc:AlternateContent>
    <mc:AlternateContent xmlns:mc="http://schemas.openxmlformats.org/markup-compatibility/2006">
      <mc:Choice Requires="x14">
        <control shapeId="7190" r:id="rId12" name="Drop Down 22">
          <controlPr defaultSize="0" autoLine="0" autoPict="0">
            <anchor>
              <from>
                <xdr:col>4</xdr:col>
                <xdr:colOff>38100</xdr:colOff>
                <xdr:row>54</xdr:row>
                <xdr:rowOff>9525</xdr:rowOff>
              </from>
              <to>
                <xdr:col>5</xdr:col>
                <xdr:colOff>419100</xdr:colOff>
                <xdr:row>55</xdr:row>
                <xdr:rowOff>19050</xdr:rowOff>
              </to>
            </anchor>
          </controlPr>
        </control>
      </mc:Choice>
    </mc:AlternateContent>
    <mc:AlternateContent xmlns:mc="http://schemas.openxmlformats.org/markup-compatibility/2006">
      <mc:Choice Requires="x14">
        <control shapeId="7191" r:id="rId13" name="Drop Down 23">
          <controlPr defaultSize="0" autoLine="0" autoPict="0">
            <anchor moveWithCells="1">
              <from>
                <xdr:col>4</xdr:col>
                <xdr:colOff>38100</xdr:colOff>
                <xdr:row>56</xdr:row>
                <xdr:rowOff>0</xdr:rowOff>
              </from>
              <to>
                <xdr:col>5</xdr:col>
                <xdr:colOff>419100</xdr:colOff>
                <xdr:row>57</xdr:row>
                <xdr:rowOff>9525</xdr:rowOff>
              </to>
            </anchor>
          </controlPr>
        </control>
      </mc:Choice>
    </mc:AlternateContent>
    <mc:AlternateContent xmlns:mc="http://schemas.openxmlformats.org/markup-compatibility/2006">
      <mc:Choice Requires="x14">
        <control shapeId="7192" r:id="rId14" name="Drop Down 24">
          <controlPr defaultSize="0" autoLine="0" autoPict="0">
            <anchor moveWithCells="1">
              <from>
                <xdr:col>4</xdr:col>
                <xdr:colOff>38100</xdr:colOff>
                <xdr:row>57</xdr:row>
                <xdr:rowOff>57150</xdr:rowOff>
              </from>
              <to>
                <xdr:col>5</xdr:col>
                <xdr:colOff>419100</xdr:colOff>
                <xdr:row>58</xdr:row>
                <xdr:rowOff>171450</xdr:rowOff>
              </to>
            </anchor>
          </controlPr>
        </control>
      </mc:Choice>
    </mc:AlternateContent>
    <mc:AlternateContent xmlns:mc="http://schemas.openxmlformats.org/markup-compatibility/2006">
      <mc:Choice Requires="x14">
        <control shapeId="7193" r:id="rId15" name="Drop Down 25">
          <controlPr defaultSize="0" autoLine="0" autoPict="0">
            <anchor moveWithCells="1">
              <from>
                <xdr:col>4</xdr:col>
                <xdr:colOff>28575</xdr:colOff>
                <xdr:row>59</xdr:row>
                <xdr:rowOff>66675</xdr:rowOff>
              </from>
              <to>
                <xdr:col>5</xdr:col>
                <xdr:colOff>409575</xdr:colOff>
                <xdr:row>60</xdr:row>
                <xdr:rowOff>180975</xdr:rowOff>
              </to>
            </anchor>
          </controlPr>
        </control>
      </mc:Choice>
    </mc:AlternateContent>
    <mc:AlternateContent xmlns:mc="http://schemas.openxmlformats.org/markup-compatibility/2006">
      <mc:Choice Requires="x14">
        <control shapeId="7194" r:id="rId16" name="Drop Down 26">
          <controlPr defaultSize="0" autoLine="0" autoPict="0">
            <anchor moveWithCells="1">
              <from>
                <xdr:col>4</xdr:col>
                <xdr:colOff>28575</xdr:colOff>
                <xdr:row>62</xdr:row>
                <xdr:rowOff>0</xdr:rowOff>
              </from>
              <to>
                <xdr:col>5</xdr:col>
                <xdr:colOff>409575</xdr:colOff>
                <xdr:row>63</xdr:row>
                <xdr:rowOff>9525</xdr:rowOff>
              </to>
            </anchor>
          </controlPr>
        </control>
      </mc:Choice>
    </mc:AlternateContent>
    <mc:AlternateContent xmlns:mc="http://schemas.openxmlformats.org/markup-compatibility/2006">
      <mc:Choice Requires="x14">
        <control shapeId="7195" r:id="rId17" name="Button 27">
          <controlPr defaultSize="0" print="0" autoFill="0" autoPict="0" macro="[0]!_xludf.SAVE">
            <anchor moveWithCells="1" sizeWithCells="1">
              <from>
                <xdr:col>3</xdr:col>
                <xdr:colOff>352425</xdr:colOff>
                <xdr:row>66</xdr:row>
                <xdr:rowOff>104775</xdr:rowOff>
              </from>
              <to>
                <xdr:col>3</xdr:col>
                <xdr:colOff>1428750</xdr:colOff>
                <xdr:row>68</xdr:row>
                <xdr:rowOff>9525</xdr:rowOff>
              </to>
            </anchor>
          </controlPr>
        </control>
      </mc:Choice>
    </mc:AlternateContent>
    <mc:AlternateContent xmlns:mc="http://schemas.openxmlformats.org/markup-compatibility/2006">
      <mc:Choice Requires="x14">
        <control shapeId="7196" r:id="rId18" name="Button 28">
          <controlPr defaultSize="0" print="0" autoFill="0" autoPict="0" macro="[0]!_xludf.CLEAR">
            <anchor moveWithCells="1" sizeWithCells="1">
              <from>
                <xdr:col>4</xdr:col>
                <xdr:colOff>904875</xdr:colOff>
                <xdr:row>66</xdr:row>
                <xdr:rowOff>95250</xdr:rowOff>
              </from>
              <to>
                <xdr:col>5</xdr:col>
                <xdr:colOff>295275</xdr:colOff>
                <xdr:row>68</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84948C8F-CB8B-452B-B203-A47331DF1569}">
            <x14:dataBar minLength="0" maxLength="100" gradient="0">
              <x14:cfvo type="autoMin"/>
              <x14:cfvo type="autoMax"/>
              <x14:negativeFillColor rgb="FFFF0000"/>
              <x14:axisColor rgb="FF000000"/>
            </x14:dataBar>
          </x14:cfRule>
          <xm:sqref>I9:I19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8623D1D-D045-4AEA-8F57-1E6FFD9A5D78}">
          <x14:formula1>
            <xm:f>Sheet8!$B$1:$M$1</xm:f>
          </x14:formula1>
          <xm:sqref>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B114-8DEB-448C-BA59-41084976D69D}">
  <sheetPr codeName="Sheet11">
    <tabColor theme="3"/>
  </sheetPr>
  <dimension ref="A1:K13"/>
  <sheetViews>
    <sheetView showGridLines="0" zoomScale="90" zoomScaleNormal="90" workbookViewId="0"/>
  </sheetViews>
  <sheetFormatPr defaultRowHeight="15" x14ac:dyDescent="0.25"/>
  <cols>
    <col min="1" max="1" width="20.7109375" style="134" bestFit="1" customWidth="1"/>
    <col min="2" max="2" width="4.7109375" style="139" bestFit="1" customWidth="1"/>
    <col min="3" max="3" width="8.28515625" style="134" bestFit="1" customWidth="1"/>
    <col min="4" max="4" width="16.42578125" style="134" bestFit="1" customWidth="1"/>
    <col min="5" max="5" width="26.5703125" style="134" bestFit="1" customWidth="1"/>
    <col min="6" max="6" width="23.140625" style="134" bestFit="1" customWidth="1"/>
    <col min="7" max="7" width="15.42578125" style="134" bestFit="1" customWidth="1"/>
    <col min="8" max="8" width="20.140625" style="134" bestFit="1" customWidth="1"/>
    <col min="9" max="9" width="12.28515625" style="134" bestFit="1" customWidth="1"/>
    <col min="10" max="10" width="18.85546875" style="134" bestFit="1" customWidth="1"/>
    <col min="11" max="11" width="9.7109375" style="134" bestFit="1" customWidth="1"/>
  </cols>
  <sheetData>
    <row r="1" spans="1:11" ht="15.75" thickBot="1" x14ac:dyDescent="0.3">
      <c r="A1" s="136" t="s">
        <v>1828</v>
      </c>
      <c r="B1" s="136" t="s">
        <v>1829</v>
      </c>
      <c r="C1" s="136" t="s">
        <v>1830</v>
      </c>
      <c r="D1" s="136" t="s">
        <v>1831</v>
      </c>
      <c r="E1" s="136" t="s">
        <v>1832</v>
      </c>
      <c r="F1" s="136" t="s">
        <v>1833</v>
      </c>
      <c r="G1" s="136" t="s">
        <v>1834</v>
      </c>
      <c r="H1" s="136" t="s">
        <v>1835</v>
      </c>
      <c r="I1" s="136" t="s">
        <v>1836</v>
      </c>
      <c r="J1" s="136" t="s">
        <v>1766</v>
      </c>
      <c r="K1" s="136" t="s">
        <v>1837</v>
      </c>
    </row>
    <row r="2" spans="1:11" x14ac:dyDescent="0.25">
      <c r="A2" s="134" t="s">
        <v>1745</v>
      </c>
      <c r="B2" s="139" t="s">
        <v>2430</v>
      </c>
      <c r="C2" s="134" t="s">
        <v>2436</v>
      </c>
      <c r="D2" s="134">
        <v>9330714572</v>
      </c>
      <c r="E2" s="134" t="s">
        <v>2431</v>
      </c>
      <c r="F2" s="134" t="s">
        <v>1840</v>
      </c>
      <c r="G2" s="134" t="s">
        <v>1846</v>
      </c>
      <c r="H2" s="134" t="s">
        <v>1855</v>
      </c>
      <c r="I2" s="134" t="s">
        <v>1873</v>
      </c>
      <c r="J2" s="134" t="s">
        <v>2399</v>
      </c>
      <c r="K2" s="134" t="s">
        <v>2432</v>
      </c>
    </row>
    <row r="3" spans="1:11" x14ac:dyDescent="0.25">
      <c r="A3" s="134" t="s">
        <v>2435</v>
      </c>
      <c r="B3" s="139" t="s">
        <v>2438</v>
      </c>
      <c r="C3" s="134" t="s">
        <v>2436</v>
      </c>
      <c r="D3" s="134" t="s">
        <v>2434</v>
      </c>
      <c r="E3" s="134" t="s">
        <v>2437</v>
      </c>
      <c r="F3" s="134" t="s">
        <v>2439</v>
      </c>
      <c r="G3" s="134" t="s">
        <v>1846</v>
      </c>
      <c r="H3" s="134" t="s">
        <v>1852</v>
      </c>
      <c r="I3" s="134" t="s">
        <v>1884</v>
      </c>
      <c r="J3" s="134" t="s">
        <v>2396</v>
      </c>
      <c r="K3" s="134" t="s">
        <v>2432</v>
      </c>
    </row>
    <row r="4" spans="1:11" x14ac:dyDescent="0.25">
      <c r="A4" s="134" t="s">
        <v>2435</v>
      </c>
      <c r="B4" s="139" t="s">
        <v>2438</v>
      </c>
      <c r="C4" s="134" t="s">
        <v>2436</v>
      </c>
      <c r="D4" s="134" t="s">
        <v>2434</v>
      </c>
      <c r="E4" s="134" t="s">
        <v>2437</v>
      </c>
      <c r="F4" s="134" t="s">
        <v>2439</v>
      </c>
      <c r="G4" s="134" t="s">
        <v>1846</v>
      </c>
      <c r="H4" s="134" t="s">
        <v>1852</v>
      </c>
      <c r="I4" s="134" t="s">
        <v>1884</v>
      </c>
      <c r="J4" s="134" t="s">
        <v>2396</v>
      </c>
      <c r="K4" s="134" t="s">
        <v>2432</v>
      </c>
    </row>
    <row r="5" spans="1:11" x14ac:dyDescent="0.25">
      <c r="A5" s="134" t="s">
        <v>2440</v>
      </c>
      <c r="B5" s="139" t="s">
        <v>2430</v>
      </c>
      <c r="C5" s="134" t="s">
        <v>2436</v>
      </c>
      <c r="D5" s="134" t="s">
        <v>2441</v>
      </c>
      <c r="E5" s="134" t="s">
        <v>2442</v>
      </c>
      <c r="F5" s="134" t="s">
        <v>1838</v>
      </c>
      <c r="G5" s="134" t="s">
        <v>1845</v>
      </c>
      <c r="H5" s="134" t="s">
        <v>1852</v>
      </c>
      <c r="I5" s="134" t="s">
        <v>1885</v>
      </c>
      <c r="J5" s="134" t="s">
        <v>2404</v>
      </c>
      <c r="K5" s="134" t="s">
        <v>2432</v>
      </c>
    </row>
    <row r="6" spans="1:11" x14ac:dyDescent="0.25">
      <c r="A6" s="134" t="s">
        <v>2443</v>
      </c>
      <c r="B6" s="139" t="s">
        <v>2444</v>
      </c>
      <c r="C6" s="134" t="s">
        <v>2433</v>
      </c>
      <c r="D6" s="134" t="s">
        <v>2445</v>
      </c>
      <c r="E6" s="134" t="s">
        <v>2446</v>
      </c>
      <c r="F6" s="134" t="s">
        <v>1840</v>
      </c>
      <c r="G6" s="134" t="s">
        <v>1845</v>
      </c>
      <c r="H6" s="134" t="s">
        <v>1853</v>
      </c>
      <c r="I6" s="134" t="s">
        <v>1888</v>
      </c>
      <c r="J6" s="134" t="s">
        <v>2406</v>
      </c>
      <c r="K6" s="134" t="s">
        <v>2432</v>
      </c>
    </row>
    <row r="7" spans="1:11" x14ac:dyDescent="0.25">
      <c r="A7" s="134" t="s">
        <v>2451</v>
      </c>
      <c r="B7" s="139" t="s">
        <v>2450</v>
      </c>
      <c r="C7" s="134" t="s">
        <v>2436</v>
      </c>
      <c r="D7" s="134" t="s">
        <v>2449</v>
      </c>
      <c r="E7" s="134" t="s">
        <v>2448</v>
      </c>
      <c r="F7" s="134" t="s">
        <v>1838</v>
      </c>
      <c r="G7" s="134" t="s">
        <v>1845</v>
      </c>
      <c r="H7" s="134" t="s">
        <v>1852</v>
      </c>
      <c r="I7" s="134" t="s">
        <v>1894</v>
      </c>
      <c r="J7" s="134" t="s">
        <v>2412</v>
      </c>
      <c r="K7" s="134" t="s">
        <v>2432</v>
      </c>
    </row>
    <row r="8" spans="1:11" x14ac:dyDescent="0.25">
      <c r="A8" s="134" t="s">
        <v>2452</v>
      </c>
      <c r="B8" s="139" t="s">
        <v>2453</v>
      </c>
      <c r="C8" s="134" t="s">
        <v>2433</v>
      </c>
      <c r="D8" s="134" t="s">
        <v>2454</v>
      </c>
      <c r="E8" s="134" t="s">
        <v>2455</v>
      </c>
      <c r="F8" s="134" t="s">
        <v>2439</v>
      </c>
      <c r="G8" s="134" t="s">
        <v>1845</v>
      </c>
      <c r="H8" s="134" t="s">
        <v>1852</v>
      </c>
      <c r="I8" s="134" t="s">
        <v>1897</v>
      </c>
      <c r="J8" s="134" t="s">
        <v>2412</v>
      </c>
      <c r="K8" s="134" t="s">
        <v>2432</v>
      </c>
    </row>
    <row r="9" spans="1:11" x14ac:dyDescent="0.25">
      <c r="A9" s="134" t="s">
        <v>2456</v>
      </c>
      <c r="B9" s="139" t="s">
        <v>2438</v>
      </c>
      <c r="C9" s="134" t="s">
        <v>2436</v>
      </c>
      <c r="D9" s="134" t="s">
        <v>2457</v>
      </c>
      <c r="E9" s="134" t="s">
        <v>2458</v>
      </c>
      <c r="F9" s="134" t="s">
        <v>1843</v>
      </c>
      <c r="G9" s="134" t="s">
        <v>1846</v>
      </c>
      <c r="H9" s="134" t="s">
        <v>1852</v>
      </c>
      <c r="I9" s="134" t="s">
        <v>1906</v>
      </c>
      <c r="J9" s="134" t="s">
        <v>2406</v>
      </c>
      <c r="K9" s="134" t="s">
        <v>2432</v>
      </c>
    </row>
    <row r="10" spans="1:11" x14ac:dyDescent="0.25">
      <c r="A10" s="134" t="s">
        <v>1745</v>
      </c>
      <c r="B10" s="139" t="s">
        <v>2430</v>
      </c>
      <c r="C10" s="134" t="s">
        <v>2436</v>
      </c>
      <c r="D10" s="134" t="s">
        <v>2459</v>
      </c>
      <c r="E10" s="134" t="s">
        <v>2431</v>
      </c>
      <c r="F10" s="134" t="s">
        <v>1839</v>
      </c>
      <c r="G10" s="134" t="s">
        <v>1845</v>
      </c>
      <c r="H10" s="134" t="s">
        <v>1852</v>
      </c>
      <c r="I10" s="134" t="s">
        <v>2376</v>
      </c>
      <c r="J10" s="134" t="s">
        <v>2429</v>
      </c>
      <c r="K10" s="134" t="s">
        <v>2432</v>
      </c>
    </row>
    <row r="11" spans="1:11" x14ac:dyDescent="0.25">
      <c r="A11" s="134" t="s">
        <v>2460</v>
      </c>
      <c r="B11" s="139" t="s">
        <v>2462</v>
      </c>
      <c r="C11" s="134" t="s">
        <v>2436</v>
      </c>
      <c r="D11" s="134" t="s">
        <v>2463</v>
      </c>
      <c r="E11" s="134" t="s">
        <v>2464</v>
      </c>
      <c r="F11" s="134" t="s">
        <v>2439</v>
      </c>
      <c r="G11" s="134" t="s">
        <v>1845</v>
      </c>
      <c r="H11" s="134" t="s">
        <v>1852</v>
      </c>
      <c r="I11" s="134" t="s">
        <v>2376</v>
      </c>
      <c r="J11" s="134" t="s">
        <v>2429</v>
      </c>
      <c r="K11" s="134" t="s">
        <v>2432</v>
      </c>
    </row>
    <row r="12" spans="1:11" x14ac:dyDescent="0.25">
      <c r="A12" s="134" t="s">
        <v>2465</v>
      </c>
      <c r="B12" s="139" t="s">
        <v>2461</v>
      </c>
      <c r="C12" s="134" t="s">
        <v>2436</v>
      </c>
      <c r="D12" s="134" t="s">
        <v>2466</v>
      </c>
      <c r="E12" s="134" t="s">
        <v>2467</v>
      </c>
      <c r="F12" s="134" t="s">
        <v>1838</v>
      </c>
      <c r="G12" s="134" t="s">
        <v>1845</v>
      </c>
      <c r="H12" s="134" t="s">
        <v>1852</v>
      </c>
      <c r="I12" s="134" t="s">
        <v>2377</v>
      </c>
      <c r="J12" s="134" t="s">
        <v>2429</v>
      </c>
      <c r="K12" s="134" t="s">
        <v>2432</v>
      </c>
    </row>
    <row r="13" spans="1:11" x14ac:dyDescent="0.25">
      <c r="A13" s="134" t="s">
        <v>2495</v>
      </c>
      <c r="B13" s="139" t="s">
        <v>2453</v>
      </c>
      <c r="C13" s="134" t="s">
        <v>2436</v>
      </c>
      <c r="D13" s="134" t="s">
        <v>2496</v>
      </c>
      <c r="E13" s="134" t="s">
        <v>2497</v>
      </c>
      <c r="F13" s="134" t="s">
        <v>1839</v>
      </c>
      <c r="G13" s="134" t="s">
        <v>1845</v>
      </c>
      <c r="H13" s="134" t="s">
        <v>1852</v>
      </c>
      <c r="I13" s="134" t="s">
        <v>2376</v>
      </c>
      <c r="J13" s="134" t="s">
        <v>2429</v>
      </c>
      <c r="K13" s="134" t="s">
        <v>2432</v>
      </c>
    </row>
  </sheetData>
  <conditionalFormatting sqref="B3:B1048576">
    <cfRule type="expression" dxfId="125" priority="2">
      <formula>B3=1</formula>
    </cfRule>
  </conditionalFormatting>
  <conditionalFormatting sqref="A2:K1048576">
    <cfRule type="notContainsBlanks" dxfId="124" priority="1">
      <formula>LEN(TRIM(A2))&gt;0</formula>
    </cfRule>
  </conditionalFormatting>
  <dataValidations count="1">
    <dataValidation type="custom" allowBlank="1" showInputMessage="1" showErrorMessage="1" errorTitle="ERROR:" error="INPUT NUMBERS ONLY.PLEASE,DON&quot;T INPUT ANY TEXT OR SYMBOL._x000a_" sqref="D2" xr:uid="{6420155E-DDF3-45C1-A305-C5D21493D6A6}">
      <formula1>ISNUMBER(D2)</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CD00C-C38F-410F-8E20-DBB4A1A4DD0A}">
  <sheetPr codeName="Sheet12">
    <tabColor rgb="FFFF0000"/>
  </sheetPr>
  <dimension ref="A1:I6"/>
  <sheetViews>
    <sheetView showGridLines="0" workbookViewId="0">
      <selection activeCell="C13" sqref="C13"/>
    </sheetView>
  </sheetViews>
  <sheetFormatPr defaultRowHeight="15" x14ac:dyDescent="0.25"/>
  <cols>
    <col min="8" max="9" width="0" hidden="1" customWidth="1"/>
  </cols>
  <sheetData>
    <row r="1" spans="1:9" x14ac:dyDescent="0.25">
      <c r="A1" s="137">
        <v>54</v>
      </c>
    </row>
    <row r="3" spans="1:9" x14ac:dyDescent="0.25">
      <c r="H3" s="135" t="s">
        <v>2490</v>
      </c>
      <c r="I3" s="162">
        <v>0.05</v>
      </c>
    </row>
    <row r="4" spans="1:9" x14ac:dyDescent="0.25">
      <c r="H4" s="135" t="s">
        <v>2491</v>
      </c>
      <c r="I4" s="162">
        <f>E6</f>
        <v>0.54</v>
      </c>
    </row>
    <row r="5" spans="1:9" ht="15.75" thickBot="1" x14ac:dyDescent="0.3">
      <c r="H5" s="135" t="s">
        <v>2492</v>
      </c>
      <c r="I5" s="162">
        <f>1-I4</f>
        <v>0.45999999999999996</v>
      </c>
    </row>
    <row r="6" spans="1:9" ht="15.75" thickBot="1" x14ac:dyDescent="0.3">
      <c r="E6" s="163">
        <f>A1/100</f>
        <v>0.54</v>
      </c>
      <c r="H6" s="135" t="s">
        <v>2493</v>
      </c>
      <c r="I6" s="162">
        <v>0.05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Spinner 1">
              <controlPr defaultSize="0" autoPict="0">
                <anchor moveWithCells="1" sizeWithCells="1">
                  <from>
                    <xdr:col>2</xdr:col>
                    <xdr:colOff>409575</xdr:colOff>
                    <xdr:row>7</xdr:row>
                    <xdr:rowOff>57150</xdr:rowOff>
                  </from>
                  <to>
                    <xdr:col>3</xdr:col>
                    <xdr:colOff>361950</xdr:colOff>
                    <xdr:row>10</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38AD8-8547-4554-95E2-88E703B1E4FD}">
  <sheetPr codeName="Sheet9"/>
  <dimension ref="A1:M35"/>
  <sheetViews>
    <sheetView showGridLines="0" topLeftCell="A17" workbookViewId="0">
      <selection activeCell="B24" sqref="B24"/>
    </sheetView>
  </sheetViews>
  <sheetFormatPr defaultRowHeight="15" x14ac:dyDescent="0.25"/>
  <cols>
    <col min="1" max="13" width="12.7109375" customWidth="1"/>
  </cols>
  <sheetData>
    <row r="1" spans="1:13" ht="25.5" x14ac:dyDescent="0.25">
      <c r="A1" s="107" t="s">
        <v>1799</v>
      </c>
      <c r="B1" s="107" t="s">
        <v>1800</v>
      </c>
      <c r="C1" s="107" t="s">
        <v>1801</v>
      </c>
      <c r="D1" s="107" t="s">
        <v>1802</v>
      </c>
      <c r="E1" s="107" t="s">
        <v>1803</v>
      </c>
      <c r="F1" s="107" t="s">
        <v>1804</v>
      </c>
      <c r="G1" s="107" t="s">
        <v>1805</v>
      </c>
      <c r="H1" s="107" t="s">
        <v>1806</v>
      </c>
      <c r="I1" s="107" t="s">
        <v>1807</v>
      </c>
      <c r="J1" s="107" t="s">
        <v>1808</v>
      </c>
      <c r="K1" s="107" t="s">
        <v>1809</v>
      </c>
      <c r="L1" s="107" t="s">
        <v>1810</v>
      </c>
      <c r="M1" s="107" t="s">
        <v>1811</v>
      </c>
    </row>
    <row r="2" spans="1:13" x14ac:dyDescent="0.25">
      <c r="A2" s="108" t="s">
        <v>1812</v>
      </c>
      <c r="B2" s="108">
        <v>921</v>
      </c>
      <c r="C2" s="108">
        <v>408</v>
      </c>
      <c r="D2" s="108">
        <v>678</v>
      </c>
      <c r="E2" s="108">
        <v>406</v>
      </c>
      <c r="F2" s="108">
        <v>498</v>
      </c>
      <c r="G2" s="108">
        <v>479</v>
      </c>
      <c r="H2" s="108">
        <v>125</v>
      </c>
      <c r="I2" s="108">
        <v>712</v>
      </c>
      <c r="J2" s="108">
        <v>465</v>
      </c>
      <c r="K2" s="108">
        <v>596</v>
      </c>
      <c r="L2" s="108">
        <v>105</v>
      </c>
      <c r="M2" s="108">
        <v>346</v>
      </c>
    </row>
    <row r="3" spans="1:13" x14ac:dyDescent="0.25">
      <c r="A3" s="108" t="s">
        <v>1813</v>
      </c>
      <c r="B3" s="108">
        <v>601</v>
      </c>
      <c r="C3" s="108">
        <v>444</v>
      </c>
      <c r="D3" s="108">
        <v>362</v>
      </c>
      <c r="E3" s="108">
        <v>936</v>
      </c>
      <c r="F3" s="108">
        <v>707</v>
      </c>
      <c r="G3" s="108">
        <v>977</v>
      </c>
      <c r="H3" s="108">
        <v>975</v>
      </c>
      <c r="I3" s="108">
        <v>830</v>
      </c>
      <c r="J3" s="108">
        <v>885</v>
      </c>
      <c r="K3" s="108">
        <v>963</v>
      </c>
      <c r="L3" s="108">
        <v>179</v>
      </c>
      <c r="M3" s="108">
        <v>342</v>
      </c>
    </row>
    <row r="4" spans="1:13" x14ac:dyDescent="0.25">
      <c r="A4" s="108" t="s">
        <v>1814</v>
      </c>
      <c r="B4" s="108">
        <v>947</v>
      </c>
      <c r="C4" s="108">
        <v>318</v>
      </c>
      <c r="D4" s="108">
        <v>837</v>
      </c>
      <c r="E4" s="108">
        <v>727</v>
      </c>
      <c r="F4" s="108">
        <v>881</v>
      </c>
      <c r="G4" s="108">
        <v>891</v>
      </c>
      <c r="H4" s="108">
        <v>896</v>
      </c>
      <c r="I4" s="108">
        <v>478</v>
      </c>
      <c r="J4" s="108">
        <v>924</v>
      </c>
      <c r="K4" s="108">
        <v>984</v>
      </c>
      <c r="L4" s="108">
        <v>797</v>
      </c>
      <c r="M4" s="108">
        <v>483</v>
      </c>
    </row>
    <row r="5" spans="1:13" x14ac:dyDescent="0.25">
      <c r="A5" s="108" t="s">
        <v>1815</v>
      </c>
      <c r="B5" s="108">
        <v>481</v>
      </c>
      <c r="C5" s="108">
        <v>309</v>
      </c>
      <c r="D5" s="108">
        <v>697</v>
      </c>
      <c r="E5" s="108">
        <v>191</v>
      </c>
      <c r="F5" s="108">
        <v>470</v>
      </c>
      <c r="G5" s="108">
        <v>715</v>
      </c>
      <c r="H5" s="108">
        <v>571</v>
      </c>
      <c r="I5" s="108">
        <v>795</v>
      </c>
      <c r="J5" s="108">
        <v>370</v>
      </c>
      <c r="K5" s="108">
        <v>150</v>
      </c>
      <c r="L5" s="108">
        <v>799</v>
      </c>
      <c r="M5" s="108">
        <v>205</v>
      </c>
    </row>
    <row r="6" spans="1:13" x14ac:dyDescent="0.25">
      <c r="A6" s="108" t="s">
        <v>1816</v>
      </c>
      <c r="B6" s="108">
        <v>370</v>
      </c>
      <c r="C6" s="108">
        <v>780</v>
      </c>
      <c r="D6" s="108">
        <v>407</v>
      </c>
      <c r="E6" s="108">
        <v>901</v>
      </c>
      <c r="F6" s="108">
        <v>511</v>
      </c>
      <c r="G6" s="108">
        <v>420</v>
      </c>
      <c r="H6" s="108">
        <v>214</v>
      </c>
      <c r="I6" s="108">
        <v>345</v>
      </c>
      <c r="J6" s="108">
        <v>409</v>
      </c>
      <c r="K6" s="108">
        <v>483</v>
      </c>
      <c r="L6" s="108">
        <v>343</v>
      </c>
      <c r="M6" s="108">
        <v>726</v>
      </c>
    </row>
    <row r="7" spans="1:13" x14ac:dyDescent="0.25">
      <c r="A7" s="108" t="s">
        <v>1817</v>
      </c>
      <c r="B7" s="108">
        <v>128</v>
      </c>
      <c r="C7" s="108">
        <v>937</v>
      </c>
      <c r="D7" s="108">
        <v>844</v>
      </c>
      <c r="E7" s="108">
        <v>506</v>
      </c>
      <c r="F7" s="108">
        <v>650</v>
      </c>
      <c r="G7" s="108">
        <v>460</v>
      </c>
      <c r="H7" s="108">
        <v>565</v>
      </c>
      <c r="I7" s="108">
        <v>779</v>
      </c>
      <c r="J7" s="108">
        <v>589</v>
      </c>
      <c r="K7" s="108">
        <v>853</v>
      </c>
      <c r="L7" s="108">
        <v>870</v>
      </c>
      <c r="M7" s="108">
        <v>189</v>
      </c>
    </row>
    <row r="8" spans="1:13" x14ac:dyDescent="0.25">
      <c r="A8" s="108" t="s">
        <v>1818</v>
      </c>
      <c r="B8" s="108">
        <v>540</v>
      </c>
      <c r="C8" s="108">
        <v>464</v>
      </c>
      <c r="D8" s="108">
        <v>272</v>
      </c>
      <c r="E8" s="108">
        <v>421</v>
      </c>
      <c r="F8" s="108">
        <v>386</v>
      </c>
      <c r="G8" s="108">
        <v>254</v>
      </c>
      <c r="H8" s="108">
        <v>373</v>
      </c>
      <c r="I8" s="108">
        <v>946</v>
      </c>
      <c r="J8" s="108">
        <v>665</v>
      </c>
      <c r="K8" s="108">
        <v>839</v>
      </c>
      <c r="L8" s="108">
        <v>536</v>
      </c>
      <c r="M8" s="108">
        <v>733</v>
      </c>
    </row>
    <row r="9" spans="1:13" x14ac:dyDescent="0.25">
      <c r="A9" s="108" t="s">
        <v>1819</v>
      </c>
      <c r="B9" s="108">
        <v>370</v>
      </c>
      <c r="C9" s="108">
        <v>999</v>
      </c>
      <c r="D9" s="108">
        <v>145</v>
      </c>
      <c r="E9" s="108">
        <v>949</v>
      </c>
      <c r="F9" s="108">
        <v>279</v>
      </c>
      <c r="G9" s="108">
        <v>316</v>
      </c>
      <c r="H9" s="108">
        <v>151</v>
      </c>
      <c r="I9" s="108">
        <v>445</v>
      </c>
      <c r="J9" s="108">
        <v>547</v>
      </c>
      <c r="K9" s="108">
        <v>800</v>
      </c>
      <c r="L9" s="108">
        <v>504</v>
      </c>
      <c r="M9" s="108">
        <v>932</v>
      </c>
    </row>
    <row r="10" spans="1:13" x14ac:dyDescent="0.25">
      <c r="A10" s="108" t="s">
        <v>1820</v>
      </c>
      <c r="B10" s="108">
        <v>288</v>
      </c>
      <c r="C10" s="108">
        <v>215</v>
      </c>
      <c r="D10" s="108">
        <v>196</v>
      </c>
      <c r="E10" s="108">
        <v>211</v>
      </c>
      <c r="F10" s="108">
        <v>379</v>
      </c>
      <c r="G10" s="108">
        <v>298</v>
      </c>
      <c r="H10" s="108">
        <v>334</v>
      </c>
      <c r="I10" s="108">
        <v>310</v>
      </c>
      <c r="J10" s="108">
        <v>136</v>
      </c>
      <c r="K10" s="108">
        <v>344</v>
      </c>
      <c r="L10" s="108">
        <v>213</v>
      </c>
      <c r="M10" s="108">
        <v>137</v>
      </c>
    </row>
    <row r="11" spans="1:13" x14ac:dyDescent="0.25">
      <c r="A11" s="108" t="s">
        <v>1821</v>
      </c>
      <c r="B11" s="108">
        <v>458</v>
      </c>
      <c r="C11" s="108">
        <v>163</v>
      </c>
      <c r="D11" s="108">
        <v>480</v>
      </c>
      <c r="E11" s="108">
        <v>322</v>
      </c>
      <c r="F11" s="108">
        <v>213</v>
      </c>
      <c r="G11" s="108">
        <v>170</v>
      </c>
      <c r="H11" s="108">
        <v>480</v>
      </c>
      <c r="I11" s="108">
        <v>171</v>
      </c>
      <c r="J11" s="108">
        <v>332</v>
      </c>
      <c r="K11" s="108">
        <v>483</v>
      </c>
      <c r="L11" s="108">
        <v>296</v>
      </c>
      <c r="M11" s="108">
        <v>100</v>
      </c>
    </row>
    <row r="12" spans="1:13" x14ac:dyDescent="0.25">
      <c r="A12" s="108" t="s">
        <v>1825</v>
      </c>
      <c r="B12" s="108">
        <v>385</v>
      </c>
      <c r="C12" s="108">
        <v>312</v>
      </c>
      <c r="D12" s="108">
        <v>150</v>
      </c>
      <c r="E12" s="108">
        <v>274</v>
      </c>
      <c r="F12" s="108">
        <v>347</v>
      </c>
      <c r="G12" s="108">
        <v>341</v>
      </c>
      <c r="H12" s="108">
        <v>368</v>
      </c>
      <c r="I12" s="108">
        <v>411</v>
      </c>
      <c r="J12" s="108">
        <v>379</v>
      </c>
      <c r="K12" s="108">
        <v>344</v>
      </c>
      <c r="L12" s="108">
        <v>426</v>
      </c>
      <c r="M12" s="108">
        <v>389</v>
      </c>
    </row>
    <row r="17" spans="2:4" ht="15.75" thickBot="1" x14ac:dyDescent="0.3"/>
    <row r="18" spans="2:4" ht="20.100000000000001" customHeight="1" thickBot="1" x14ac:dyDescent="0.3">
      <c r="D18" s="160">
        <v>5</v>
      </c>
    </row>
    <row r="23" spans="2:4" ht="20.100000000000001" customHeight="1" x14ac:dyDescent="0.25">
      <c r="B23">
        <v>6</v>
      </c>
    </row>
    <row r="26" spans="2:4" x14ac:dyDescent="0.25">
      <c r="C26" s="161">
        <v>3</v>
      </c>
    </row>
    <row r="27" spans="2:4" x14ac:dyDescent="0.25">
      <c r="C27" s="161">
        <v>1</v>
      </c>
    </row>
    <row r="28" spans="2:4" x14ac:dyDescent="0.25">
      <c r="C28" s="161">
        <v>2</v>
      </c>
    </row>
    <row r="29" spans="2:4" x14ac:dyDescent="0.25">
      <c r="C29" s="161">
        <v>9</v>
      </c>
    </row>
    <row r="30" spans="2:4" x14ac:dyDescent="0.25">
      <c r="C30" s="161">
        <v>12</v>
      </c>
    </row>
    <row r="31" spans="2:4" x14ac:dyDescent="0.25">
      <c r="C31" s="161">
        <v>6</v>
      </c>
    </row>
    <row r="32" spans="2:4" x14ac:dyDescent="0.25">
      <c r="C32" s="161">
        <v>7</v>
      </c>
    </row>
    <row r="33" spans="3:3" x14ac:dyDescent="0.25">
      <c r="C33" s="161">
        <v>8</v>
      </c>
    </row>
    <row r="34" spans="3:3" x14ac:dyDescent="0.25">
      <c r="C34" s="161">
        <v>9</v>
      </c>
    </row>
    <row r="35" spans="3:3" x14ac:dyDescent="0.25">
      <c r="C35" s="161">
        <v>10</v>
      </c>
    </row>
  </sheetData>
  <conditionalFormatting sqref="D18">
    <cfRule type="cellIs" dxfId="123" priority="3" operator="equal">
      <formula>5</formula>
    </cfRule>
    <cfRule type="cellIs" dxfId="122" priority="4" operator="equal">
      <formula>4</formula>
    </cfRule>
    <cfRule type="expression" dxfId="121" priority="10">
      <formula>$D$18=3</formula>
    </cfRule>
    <cfRule type="expression" dxfId="120" priority="11">
      <formula>$D$18=2</formula>
    </cfRule>
    <cfRule type="cellIs" dxfId="119" priority="12" operator="equal">
      <formula>1</formula>
    </cfRule>
  </conditionalFormatting>
  <conditionalFormatting sqref="C23">
    <cfRule type="expression" dxfId="118" priority="1">
      <formula>$B$23=6</formula>
    </cfRule>
    <cfRule type="expression" dxfId="117" priority="2">
      <formula>$B$23=5</formula>
    </cfRule>
    <cfRule type="expression" dxfId="116" priority="6">
      <formula>$B$23=4</formula>
    </cfRule>
    <cfRule type="expression" dxfId="115" priority="7">
      <formula>$B$23=3</formula>
    </cfRule>
    <cfRule type="expression" dxfId="114" priority="8">
      <formula>$B$23=2</formula>
    </cfRule>
    <cfRule type="expression" dxfId="113" priority="9">
      <formula>$B$23=1</formula>
    </cfRule>
  </conditionalFormatting>
  <conditionalFormatting sqref="C26:C35">
    <cfRule type="dataBar" priority="5">
      <dataBar showValue="0">
        <cfvo type="num" val="0"/>
        <cfvo type="max"/>
        <color rgb="FF638EC6"/>
      </dataBar>
      <extLst>
        <ext xmlns:x14="http://schemas.microsoft.com/office/spreadsheetml/2009/9/main" uri="{B025F937-C7B1-47D3-B67F-A62EFF666E3E}">
          <x14:id>{A480FF8A-745E-43F2-B332-A76D2007F1E0}</x14:id>
        </ext>
      </extLst>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A480FF8A-745E-43F2-B332-A76D2007F1E0}">
            <x14:dataBar minLength="0" maxLength="100" border="1" gradient="0" direction="leftToRight">
              <x14:cfvo type="num">
                <xm:f>0</xm:f>
              </x14:cfvo>
              <x14:cfvo type="autoMax"/>
              <x14:borderColor rgb="FF000000"/>
              <x14:negativeFillColor rgb="FFFF0000"/>
              <x14:axisColor rgb="FF000000"/>
            </x14:dataBar>
          </x14:cfRule>
          <xm:sqref>C26:C35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8DAE8-5E8F-4A3D-B87A-1365FD71F580}">
  <sheetPr codeName="Sheet10"/>
  <dimension ref="D3:H18"/>
  <sheetViews>
    <sheetView showGridLines="0" topLeftCell="A2" workbookViewId="0">
      <selection activeCell="D4" sqref="D4"/>
    </sheetView>
  </sheetViews>
  <sheetFormatPr defaultRowHeight="15" x14ac:dyDescent="0.25"/>
  <cols>
    <col min="7" max="7" width="17" customWidth="1"/>
    <col min="8" max="8" width="20.7109375" customWidth="1"/>
  </cols>
  <sheetData>
    <row r="3" spans="4:8" ht="15.75" thickBot="1" x14ac:dyDescent="0.3"/>
    <row r="4" spans="4:8" ht="15.75" thickBot="1" x14ac:dyDescent="0.3">
      <c r="D4" s="113" t="s">
        <v>1806</v>
      </c>
    </row>
    <row r="7" spans="4:8" x14ac:dyDescent="0.25">
      <c r="G7" s="111" t="s">
        <v>1799</v>
      </c>
      <c r="H7" s="112" t="s">
        <v>1823</v>
      </c>
    </row>
    <row r="8" spans="4:8" x14ac:dyDescent="0.25">
      <c r="G8" s="109" t="s">
        <v>1812</v>
      </c>
      <c r="H8" s="110">
        <f>VLOOKUP(G8,Sheet8!$A$1:$M$12,MATCH(Sheet9!$D$4,Sheet8!$A$1:$M$1,0),0)</f>
        <v>125</v>
      </c>
    </row>
    <row r="9" spans="4:8" x14ac:dyDescent="0.25">
      <c r="G9" s="109" t="s">
        <v>1813</v>
      </c>
      <c r="H9" s="110">
        <f>VLOOKUP(G9,Sheet8!$A$1:$M$12,MATCH(Sheet9!$D$4,Sheet8!$A$1:$M$1,0),0)</f>
        <v>975</v>
      </c>
    </row>
    <row r="10" spans="4:8" x14ac:dyDescent="0.25">
      <c r="G10" s="109" t="s">
        <v>1814</v>
      </c>
      <c r="H10" s="110">
        <f>VLOOKUP(G10,Sheet8!$A$1:$M$12,MATCH(Sheet9!$D$4,Sheet8!$A$1:$M$1,0),0)</f>
        <v>896</v>
      </c>
    </row>
    <row r="11" spans="4:8" x14ac:dyDescent="0.25">
      <c r="G11" s="109" t="s">
        <v>1815</v>
      </c>
      <c r="H11" s="110">
        <f>VLOOKUP(G11,Sheet8!$A$1:$M$12,MATCH(Sheet9!$D$4,Sheet8!$A$1:$M$1,0),0)</f>
        <v>571</v>
      </c>
    </row>
    <row r="12" spans="4:8" x14ac:dyDescent="0.25">
      <c r="G12" s="109" t="s">
        <v>1816</v>
      </c>
      <c r="H12" s="110">
        <f>VLOOKUP(G12,Sheet8!$A$1:$M$12,MATCH(Sheet9!$D$4,Sheet8!$A$1:$M$1,0),0)</f>
        <v>214</v>
      </c>
    </row>
    <row r="13" spans="4:8" x14ac:dyDescent="0.25">
      <c r="G13" s="109" t="s">
        <v>1817</v>
      </c>
      <c r="H13" s="110">
        <f>VLOOKUP(G13,Sheet8!$A$1:$M$12,MATCH(Sheet9!$D$4,Sheet8!$A$1:$M$1,0),0)</f>
        <v>565</v>
      </c>
    </row>
    <row r="14" spans="4:8" x14ac:dyDescent="0.25">
      <c r="G14" s="109" t="s">
        <v>1818</v>
      </c>
      <c r="H14" s="110">
        <f>VLOOKUP(G14,Sheet8!$A$1:$M$12,MATCH(Sheet9!$D$4,Sheet8!$A$1:$M$1,0),0)</f>
        <v>373</v>
      </c>
    </row>
    <row r="15" spans="4:8" x14ac:dyDescent="0.25">
      <c r="G15" s="109" t="s">
        <v>1819</v>
      </c>
      <c r="H15" s="110">
        <f>VLOOKUP(G15,Sheet8!$A$1:$M$12,MATCH(Sheet9!$D$4,Sheet8!$A$1:$M$1,0),0)</f>
        <v>151</v>
      </c>
    </row>
    <row r="16" spans="4:8" x14ac:dyDescent="0.25">
      <c r="G16" s="109" t="s">
        <v>1820</v>
      </c>
      <c r="H16" s="110">
        <f>VLOOKUP(G16,Sheet8!$A$1:$M$12,MATCH(Sheet9!$D$4,Sheet8!$A$1:$M$1,0),0)</f>
        <v>334</v>
      </c>
    </row>
    <row r="17" spans="7:8" x14ac:dyDescent="0.25">
      <c r="G17" s="109" t="s">
        <v>1821</v>
      </c>
      <c r="H17" s="110">
        <f>VLOOKUP(G17,Sheet8!$A$1:$M$12,MATCH(Sheet9!$D$4,Sheet8!$A$1:$M$1,0),0)</f>
        <v>480</v>
      </c>
    </row>
    <row r="18" spans="7:8" x14ac:dyDescent="0.25">
      <c r="G18" s="109" t="s">
        <v>1822</v>
      </c>
      <c r="H18" s="110" t="e">
        <f>VLOOKUP(G18,Sheet8!$A$1:$M$12,MATCH(Sheet9!$D$4,Sheet8!$A$1:$M$1,0),0)</f>
        <v>#N/A</v>
      </c>
    </row>
  </sheetData>
  <conditionalFormatting sqref="H8:H18">
    <cfRule type="dataBar" priority="1">
      <dataBar showValue="0">
        <cfvo type="min"/>
        <cfvo type="max"/>
        <color rgb="FF008AEF"/>
      </dataBar>
      <extLst>
        <ext xmlns:x14="http://schemas.microsoft.com/office/spreadsheetml/2009/9/main" uri="{B025F937-C7B1-47D3-B67F-A62EFF666E3E}">
          <x14:id>{0253921B-6586-45F0-8017-584358595D14}</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253921B-6586-45F0-8017-584358595D14}">
            <x14:dataBar minLength="0" maxLength="100" gradient="0">
              <x14:cfvo type="autoMin"/>
              <x14:cfvo type="autoMax"/>
              <x14:negativeFillColor rgb="FFFF0000"/>
              <x14:axisColor rgb="FF000000"/>
            </x14:dataBar>
          </x14:cfRule>
          <xm:sqref>H8:H18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12FC4B7-0CEE-4794-9736-CC6A0B048098}">
          <x14:formula1>
            <xm:f>Sheet8!$B$1:$M$1</xm:f>
          </x14:formula1>
          <xm:sqref>D4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CB5CC-AFAA-42AB-92C7-6FFAA9405B88}">
  <sheetPr codeName="Sheet13"/>
  <dimension ref="B4:F13"/>
  <sheetViews>
    <sheetView showGridLines="0" workbookViewId="0">
      <selection activeCell="D15" sqref="D15"/>
    </sheetView>
  </sheetViews>
  <sheetFormatPr defaultRowHeight="15" x14ac:dyDescent="0.25"/>
  <cols>
    <col min="3" max="3" width="9.140625" style="137" customWidth="1"/>
    <col min="4" max="4" width="12.5703125" customWidth="1"/>
    <col min="5" max="5" width="14.85546875" bestFit="1" customWidth="1"/>
  </cols>
  <sheetData>
    <row r="4" spans="2:6" x14ac:dyDescent="0.25">
      <c r="D4" s="140" t="s">
        <v>2471</v>
      </c>
      <c r="E4" s="141" t="s">
        <v>1766</v>
      </c>
      <c r="F4" s="142" t="s">
        <v>1767</v>
      </c>
    </row>
    <row r="5" spans="2:6" x14ac:dyDescent="0.25">
      <c r="C5" s="137">
        <v>56</v>
      </c>
      <c r="D5" s="143" t="b">
        <v>1</v>
      </c>
      <c r="E5" s="144" t="s">
        <v>1773</v>
      </c>
      <c r="F5" s="145">
        <f>IF(Table7[[#This Row],[CHECKBOX]]=TRUE,C5,"")</f>
        <v>56</v>
      </c>
    </row>
    <row r="6" spans="2:6" x14ac:dyDescent="0.25">
      <c r="C6" s="137">
        <v>34</v>
      </c>
      <c r="D6" s="143" t="b">
        <v>1</v>
      </c>
      <c r="E6" s="144" t="s">
        <v>1775</v>
      </c>
      <c r="F6" s="145">
        <f>IF(Table7[[#This Row],[CHECKBOX]]=TRUE,C6,"")</f>
        <v>34</v>
      </c>
    </row>
    <row r="7" spans="2:6" x14ac:dyDescent="0.25">
      <c r="C7" s="137">
        <v>45</v>
      </c>
      <c r="D7" s="143" t="b">
        <v>1</v>
      </c>
      <c r="E7" s="144" t="s">
        <v>1770</v>
      </c>
      <c r="F7" s="145">
        <f>IF(Table7[[#This Row],[CHECKBOX]]=TRUE,C7,"")</f>
        <v>45</v>
      </c>
    </row>
    <row r="8" spans="2:6" x14ac:dyDescent="0.25">
      <c r="C8" s="137">
        <v>70</v>
      </c>
      <c r="D8" s="143" t="b">
        <v>1</v>
      </c>
      <c r="E8" s="144" t="s">
        <v>2468</v>
      </c>
      <c r="F8" s="145">
        <f>IF(Table7[[#This Row],[CHECKBOX]]=TRUE,C8,"")</f>
        <v>70</v>
      </c>
    </row>
    <row r="9" spans="2:6" x14ac:dyDescent="0.25">
      <c r="C9" s="137">
        <v>40</v>
      </c>
      <c r="D9" s="143" t="b">
        <v>1</v>
      </c>
      <c r="E9" s="144" t="s">
        <v>2494</v>
      </c>
      <c r="F9" s="145">
        <f>IF(Table7[[#This Row],[CHECKBOX]]=TRUE,C9,"")</f>
        <v>40</v>
      </c>
    </row>
    <row r="10" spans="2:6" x14ac:dyDescent="0.25">
      <c r="C10" s="137">
        <v>67</v>
      </c>
      <c r="D10" s="143" t="b">
        <v>1</v>
      </c>
      <c r="E10" s="144" t="s">
        <v>2469</v>
      </c>
      <c r="F10" s="145">
        <f>IF(Table7[[#This Row],[CHECKBOX]]=TRUE,C10,"")</f>
        <v>67</v>
      </c>
    </row>
    <row r="11" spans="2:6" x14ac:dyDescent="0.25">
      <c r="C11" s="137">
        <v>45</v>
      </c>
      <c r="D11" s="146" t="b">
        <v>1</v>
      </c>
      <c r="E11" s="147" t="s">
        <v>2470</v>
      </c>
      <c r="F11" s="148">
        <f>IF(Table7[[#This Row],[CHECKBOX]]=TRUE,C11,"")</f>
        <v>45</v>
      </c>
    </row>
    <row r="12" spans="2:6" x14ac:dyDescent="0.25">
      <c r="C12" s="137">
        <v>60</v>
      </c>
      <c r="D12" s="146" t="b">
        <v>1</v>
      </c>
      <c r="E12" s="144" t="s">
        <v>1772</v>
      </c>
      <c r="F12" s="149">
        <f>IF(Table7[[#This Row],[CHECKBOX]]=TRUE,C12,"")</f>
        <v>60</v>
      </c>
    </row>
    <row r="13" spans="2:6" x14ac:dyDescent="0.25">
      <c r="B13" s="135" t="str">
        <f>"SALES REPORT FOR ALL STATES IN 2022-23"</f>
        <v>SALES REPORT FOR ALL STATES IN 2022-23</v>
      </c>
      <c r="C13" s="137">
        <v>44</v>
      </c>
      <c r="D13" s="146" t="b">
        <v>1</v>
      </c>
      <c r="E13" s="144" t="s">
        <v>1778</v>
      </c>
      <c r="F13" s="149">
        <f>IF(Table7[[#This Row],[CHECKBOX]]=TRUE,C13,"")</f>
        <v>44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Check Box 1">
              <controlPr defaultSize="0" autoFill="0" autoLine="0" autoPict="0">
                <anchor moveWithCells="1">
                  <from>
                    <xdr:col>3</xdr:col>
                    <xdr:colOff>190500</xdr:colOff>
                    <xdr:row>4</xdr:row>
                    <xdr:rowOff>19050</xdr:rowOff>
                  </from>
                  <to>
                    <xdr:col>3</xdr:col>
                    <xdr:colOff>495300</xdr:colOff>
                    <xdr:row>4</xdr:row>
                    <xdr:rowOff>161925</xdr:rowOff>
                  </to>
                </anchor>
              </controlPr>
            </control>
          </mc:Choice>
        </mc:AlternateContent>
        <mc:AlternateContent xmlns:mc="http://schemas.openxmlformats.org/markup-compatibility/2006">
          <mc:Choice Requires="x14">
            <control shapeId="14338" r:id="rId4" name="Check Box 2">
              <controlPr defaultSize="0" autoFill="0" autoLine="0" autoPict="0">
                <anchor moveWithCells="1">
                  <from>
                    <xdr:col>3</xdr:col>
                    <xdr:colOff>190500</xdr:colOff>
                    <xdr:row>5</xdr:row>
                    <xdr:rowOff>19050</xdr:rowOff>
                  </from>
                  <to>
                    <xdr:col>3</xdr:col>
                    <xdr:colOff>495300</xdr:colOff>
                    <xdr:row>5</xdr:row>
                    <xdr:rowOff>161925</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3</xdr:col>
                    <xdr:colOff>190500</xdr:colOff>
                    <xdr:row>6</xdr:row>
                    <xdr:rowOff>19050</xdr:rowOff>
                  </from>
                  <to>
                    <xdr:col>3</xdr:col>
                    <xdr:colOff>495300</xdr:colOff>
                    <xdr:row>6</xdr:row>
                    <xdr:rowOff>161925</xdr:rowOff>
                  </to>
                </anchor>
              </controlPr>
            </control>
          </mc:Choice>
        </mc:AlternateContent>
        <mc:AlternateContent xmlns:mc="http://schemas.openxmlformats.org/markup-compatibility/2006">
          <mc:Choice Requires="x14">
            <control shapeId="14340" r:id="rId6" name="Check Box 4">
              <controlPr defaultSize="0" autoFill="0" autoLine="0" autoPict="0">
                <anchor moveWithCells="1">
                  <from>
                    <xdr:col>3</xdr:col>
                    <xdr:colOff>190500</xdr:colOff>
                    <xdr:row>7</xdr:row>
                    <xdr:rowOff>19050</xdr:rowOff>
                  </from>
                  <to>
                    <xdr:col>3</xdr:col>
                    <xdr:colOff>495300</xdr:colOff>
                    <xdr:row>7</xdr:row>
                    <xdr:rowOff>161925</xdr:rowOff>
                  </to>
                </anchor>
              </controlPr>
            </control>
          </mc:Choice>
        </mc:AlternateContent>
        <mc:AlternateContent xmlns:mc="http://schemas.openxmlformats.org/markup-compatibility/2006">
          <mc:Choice Requires="x14">
            <control shapeId="14341" r:id="rId7" name="Check Box 5">
              <controlPr defaultSize="0" autoFill="0" autoLine="0" autoPict="0">
                <anchor moveWithCells="1">
                  <from>
                    <xdr:col>3</xdr:col>
                    <xdr:colOff>190500</xdr:colOff>
                    <xdr:row>8</xdr:row>
                    <xdr:rowOff>19050</xdr:rowOff>
                  </from>
                  <to>
                    <xdr:col>3</xdr:col>
                    <xdr:colOff>495300</xdr:colOff>
                    <xdr:row>8</xdr:row>
                    <xdr:rowOff>161925</xdr:rowOff>
                  </to>
                </anchor>
              </controlPr>
            </control>
          </mc:Choice>
        </mc:AlternateContent>
        <mc:AlternateContent xmlns:mc="http://schemas.openxmlformats.org/markup-compatibility/2006">
          <mc:Choice Requires="x14">
            <control shapeId="14342" r:id="rId8" name="Check Box 6">
              <controlPr defaultSize="0" autoFill="0" autoLine="0" autoPict="0">
                <anchor moveWithCells="1">
                  <from>
                    <xdr:col>3</xdr:col>
                    <xdr:colOff>190500</xdr:colOff>
                    <xdr:row>9</xdr:row>
                    <xdr:rowOff>19050</xdr:rowOff>
                  </from>
                  <to>
                    <xdr:col>3</xdr:col>
                    <xdr:colOff>495300</xdr:colOff>
                    <xdr:row>9</xdr:row>
                    <xdr:rowOff>161925</xdr:rowOff>
                  </to>
                </anchor>
              </controlPr>
            </control>
          </mc:Choice>
        </mc:AlternateContent>
        <mc:AlternateContent xmlns:mc="http://schemas.openxmlformats.org/markup-compatibility/2006">
          <mc:Choice Requires="x14">
            <control shapeId="14343" r:id="rId9" name="Check Box 7">
              <controlPr defaultSize="0" autoFill="0" autoLine="0" autoPict="0">
                <anchor moveWithCells="1">
                  <from>
                    <xdr:col>3</xdr:col>
                    <xdr:colOff>190500</xdr:colOff>
                    <xdr:row>10</xdr:row>
                    <xdr:rowOff>19050</xdr:rowOff>
                  </from>
                  <to>
                    <xdr:col>3</xdr:col>
                    <xdr:colOff>495300</xdr:colOff>
                    <xdr:row>10</xdr:row>
                    <xdr:rowOff>161925</xdr:rowOff>
                  </to>
                </anchor>
              </controlPr>
            </control>
          </mc:Choice>
        </mc:AlternateContent>
        <mc:AlternateContent xmlns:mc="http://schemas.openxmlformats.org/markup-compatibility/2006">
          <mc:Choice Requires="x14">
            <control shapeId="14344" r:id="rId10" name="Check Box 8">
              <controlPr defaultSize="0" autoFill="0" autoLine="0" autoPict="0">
                <anchor moveWithCells="1">
                  <from>
                    <xdr:col>3</xdr:col>
                    <xdr:colOff>190500</xdr:colOff>
                    <xdr:row>11</xdr:row>
                    <xdr:rowOff>19050</xdr:rowOff>
                  </from>
                  <to>
                    <xdr:col>3</xdr:col>
                    <xdr:colOff>495300</xdr:colOff>
                    <xdr:row>11</xdr:row>
                    <xdr:rowOff>161925</xdr:rowOff>
                  </to>
                </anchor>
              </controlPr>
            </control>
          </mc:Choice>
        </mc:AlternateContent>
        <mc:AlternateContent xmlns:mc="http://schemas.openxmlformats.org/markup-compatibility/2006">
          <mc:Choice Requires="x14">
            <control shapeId="14345" r:id="rId11" name="Check Box 9">
              <controlPr defaultSize="0" autoFill="0" autoLine="0" autoPict="0">
                <anchor moveWithCells="1">
                  <from>
                    <xdr:col>3</xdr:col>
                    <xdr:colOff>190500</xdr:colOff>
                    <xdr:row>12</xdr:row>
                    <xdr:rowOff>19050</xdr:rowOff>
                  </from>
                  <to>
                    <xdr:col>3</xdr:col>
                    <xdr:colOff>495300</xdr:colOff>
                    <xdr:row>12</xdr:row>
                    <xdr:rowOff>161925</xdr:rowOff>
                  </to>
                </anchor>
              </controlPr>
            </control>
          </mc:Choice>
        </mc:AlternateContent>
      </controls>
    </mc:Choice>
  </mc:AlternateContent>
  <tableParts count="1">
    <tablePart r:id="rId1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FD9BB-BBDA-44A9-AA72-FC23F2F4C6A6}">
  <sheetPr codeName="Sheet14">
    <tabColor rgb="FFFFC000"/>
  </sheetPr>
  <dimension ref="A1:P25"/>
  <sheetViews>
    <sheetView showGridLines="0" workbookViewId="0">
      <selection activeCell="G11" sqref="G11"/>
    </sheetView>
  </sheetViews>
  <sheetFormatPr defaultRowHeight="15" x14ac:dyDescent="0.25"/>
  <cols>
    <col min="1" max="8" width="15.7109375" customWidth="1"/>
  </cols>
  <sheetData>
    <row r="1" spans="1:16" ht="19.5" thickBot="1" x14ac:dyDescent="0.35">
      <c r="A1" s="245" t="s">
        <v>2486</v>
      </c>
      <c r="B1" s="245"/>
      <c r="C1" s="245"/>
      <c r="D1" s="245"/>
      <c r="E1" s="245"/>
      <c r="F1" s="245"/>
      <c r="G1" s="245"/>
      <c r="H1" s="245"/>
    </row>
    <row r="2" spans="1:16" ht="15.75" thickTop="1" x14ac:dyDescent="0.25">
      <c r="A2" s="246" t="s">
        <v>2487</v>
      </c>
      <c r="B2" s="246"/>
      <c r="C2" s="246"/>
      <c r="D2" s="246"/>
      <c r="E2" s="246"/>
      <c r="F2" s="246"/>
      <c r="G2" s="246"/>
      <c r="H2" s="246"/>
    </row>
    <row r="3" spans="1:16" ht="33.75" customHeight="1" x14ac:dyDescent="0.25">
      <c r="A3" s="247" t="s">
        <v>2472</v>
      </c>
      <c r="B3" s="247"/>
      <c r="C3" s="247"/>
      <c r="D3" s="247"/>
      <c r="E3" s="247"/>
      <c r="F3" s="247"/>
      <c r="G3" s="247"/>
      <c r="H3" s="247"/>
    </row>
    <row r="4" spans="1:16" ht="15.75" x14ac:dyDescent="0.25">
      <c r="A4" s="169" t="s">
        <v>2473</v>
      </c>
      <c r="B4" s="169" t="s">
        <v>2474</v>
      </c>
      <c r="C4" s="169" t="s">
        <v>2475</v>
      </c>
      <c r="D4" s="169" t="s">
        <v>2476</v>
      </c>
      <c r="E4" s="169" t="s">
        <v>4</v>
      </c>
      <c r="F4" s="169" t="s">
        <v>2477</v>
      </c>
      <c r="G4" s="169" t="s">
        <v>2478</v>
      </c>
      <c r="H4" s="169" t="s">
        <v>2479</v>
      </c>
      <c r="K4" t="b">
        <f>ISNUMBER(C5)</f>
        <v>1</v>
      </c>
      <c r="L4" t="b">
        <f t="shared" ref="L4:P4" si="0">ISNUMBER(D5)</f>
        <v>1</v>
      </c>
      <c r="M4" t="b">
        <f t="shared" si="0"/>
        <v>1</v>
      </c>
      <c r="N4" t="b">
        <f t="shared" si="0"/>
        <v>1</v>
      </c>
      <c r="O4" t="b">
        <f t="shared" si="0"/>
        <v>1</v>
      </c>
      <c r="P4" t="b">
        <f t="shared" si="0"/>
        <v>1</v>
      </c>
    </row>
    <row r="5" spans="1:16" ht="15.75" thickBot="1" x14ac:dyDescent="0.3">
      <c r="A5" s="164">
        <v>1001</v>
      </c>
      <c r="B5" s="164" t="s">
        <v>2480</v>
      </c>
      <c r="C5" s="165">
        <v>200</v>
      </c>
      <c r="D5" s="166">
        <v>10</v>
      </c>
      <c r="E5" s="165">
        <f>Table8[[#This Row],[Rate]]*Table8[[#This Row],[Quantity]]</f>
        <v>2000</v>
      </c>
      <c r="F5" s="167">
        <v>0.18</v>
      </c>
      <c r="G5" s="168">
        <f>Table8[[#This Row],[Amount]]*Table8[[#This Row],[GST]]</f>
        <v>360</v>
      </c>
      <c r="H5" s="168">
        <f>Table8[[#This Row],[GST Amount]]+Table8[[#This Row],[Amount]]</f>
        <v>2360</v>
      </c>
    </row>
    <row r="6" spans="1:16" ht="15.75" thickBot="1" x14ac:dyDescent="0.3">
      <c r="A6" s="150">
        <v>1002</v>
      </c>
      <c r="B6" s="150" t="s">
        <v>2489</v>
      </c>
      <c r="C6" s="151">
        <v>500</v>
      </c>
      <c r="D6" s="152">
        <v>10</v>
      </c>
      <c r="E6" s="151">
        <f>Table8[[#This Row],[Rate]]*Table8[[#This Row],[Quantity]]</f>
        <v>5000</v>
      </c>
      <c r="F6" s="153">
        <v>0.18</v>
      </c>
      <c r="G6" s="154">
        <f>Table8[[#This Row],[Amount]]*Table8[[#This Row],[GST]]</f>
        <v>900</v>
      </c>
      <c r="H6" s="154">
        <f>Table8[[#This Row],[GST Amount]]+Table8[[#This Row],[Amount]]</f>
        <v>5900</v>
      </c>
    </row>
    <row r="7" spans="1:16" ht="15.75" thickBot="1" x14ac:dyDescent="0.3">
      <c r="A7" s="150">
        <v>1003</v>
      </c>
      <c r="B7" s="150" t="s">
        <v>2482</v>
      </c>
      <c r="C7" s="151">
        <v>500</v>
      </c>
      <c r="D7" s="152">
        <v>10</v>
      </c>
      <c r="E7" s="151">
        <f>Table8[[#This Row],[Rate]]*Table8[[#This Row],[Quantity]]</f>
        <v>5000</v>
      </c>
      <c r="F7" s="153">
        <v>0.12</v>
      </c>
      <c r="G7" s="154">
        <f>Table8[[#This Row],[Amount]]*Table8[[#This Row],[GST]]</f>
        <v>600</v>
      </c>
      <c r="H7" s="154">
        <f>Table8[[#This Row],[GST Amount]]+Table8[[#This Row],[Amount]]</f>
        <v>5600</v>
      </c>
    </row>
    <row r="8" spans="1:16" ht="15.75" thickBot="1" x14ac:dyDescent="0.3">
      <c r="A8" s="150">
        <v>1004</v>
      </c>
      <c r="B8" s="150" t="s">
        <v>2482</v>
      </c>
      <c r="C8" s="151">
        <v>60</v>
      </c>
      <c r="D8" s="152">
        <v>5</v>
      </c>
      <c r="E8" s="151">
        <f>Table8[[#This Row],[Rate]]*Table8[[#This Row],[Quantity]]</f>
        <v>300</v>
      </c>
      <c r="F8" s="153">
        <v>0.18</v>
      </c>
      <c r="G8" s="154">
        <f>Table8[[#This Row],[Amount]]*Table8[[#This Row],[GST]]</f>
        <v>54</v>
      </c>
      <c r="H8" s="154">
        <f>Table8[[#This Row],[GST Amount]]+Table8[[#This Row],[Amount]]</f>
        <v>354</v>
      </c>
    </row>
    <row r="9" spans="1:16" ht="15.75" thickBot="1" x14ac:dyDescent="0.3">
      <c r="A9" s="150">
        <v>1005</v>
      </c>
      <c r="B9" s="150" t="s">
        <v>2483</v>
      </c>
      <c r="C9" s="151">
        <v>2000</v>
      </c>
      <c r="D9" s="152">
        <v>30</v>
      </c>
      <c r="E9" s="151">
        <f>Table8[[#This Row],[Rate]]*Table8[[#This Row],[Quantity]]</f>
        <v>60000</v>
      </c>
      <c r="F9" s="153">
        <v>0.18</v>
      </c>
      <c r="G9" s="154">
        <f>Table8[[#This Row],[Amount]]*Table8[[#This Row],[GST]]</f>
        <v>10800</v>
      </c>
      <c r="H9" s="154">
        <f>Table8[[#This Row],[GST Amount]]+Table8[[#This Row],[Amount]]</f>
        <v>70800</v>
      </c>
    </row>
    <row r="10" spans="1:16" ht="15.75" thickBot="1" x14ac:dyDescent="0.3">
      <c r="A10" s="150">
        <v>1006</v>
      </c>
      <c r="B10" s="150" t="s">
        <v>2484</v>
      </c>
      <c r="C10" s="151">
        <v>260</v>
      </c>
      <c r="D10" s="152">
        <v>10</v>
      </c>
      <c r="E10" s="151">
        <f>Table8[[#This Row],[Rate]]*Table8[[#This Row],[Quantity]]</f>
        <v>2600</v>
      </c>
      <c r="F10" s="153">
        <v>0.18</v>
      </c>
      <c r="G10" s="154">
        <f>Table8[[#This Row],[Amount]]*Table8[[#This Row],[GST]]</f>
        <v>468</v>
      </c>
      <c r="H10" s="154">
        <f>Table8[[#This Row],[GST Amount]]+Table8[[#This Row],[Amount]]</f>
        <v>3068</v>
      </c>
    </row>
    <row r="11" spans="1:16" ht="15.75" thickBot="1" x14ac:dyDescent="0.3">
      <c r="A11" s="150">
        <v>1007</v>
      </c>
      <c r="B11" s="150" t="s">
        <v>2481</v>
      </c>
      <c r="C11" s="151">
        <v>200</v>
      </c>
      <c r="D11" s="152">
        <v>30</v>
      </c>
      <c r="E11" s="151">
        <f>Table8[[#This Row],[Rate]]*Table8[[#This Row],[Quantity]]</f>
        <v>6000</v>
      </c>
      <c r="F11" s="153">
        <v>0.18</v>
      </c>
      <c r="G11" s="154">
        <f>Table8[[#This Row],[Amount]]*Table8[[#This Row],[GST]]</f>
        <v>1080</v>
      </c>
      <c r="H11" s="154">
        <f>Table8[[#This Row],[GST Amount]]+Table8[[#This Row],[Amount]]</f>
        <v>7080</v>
      </c>
    </row>
    <row r="12" spans="1:16" ht="15.75" thickBot="1" x14ac:dyDescent="0.3">
      <c r="A12" s="150">
        <v>1008</v>
      </c>
      <c r="B12" s="150" t="s">
        <v>2485</v>
      </c>
      <c r="C12" s="151">
        <v>50</v>
      </c>
      <c r="D12" s="152">
        <v>20</v>
      </c>
      <c r="E12" s="151">
        <f>Table8[[#This Row],[Rate]]*Table8[[#This Row],[Quantity]]</f>
        <v>1000</v>
      </c>
      <c r="F12" s="153">
        <v>0.18</v>
      </c>
      <c r="G12" s="154">
        <f>Table8[[#This Row],[Amount]]*Table8[[#This Row],[GST]]</f>
        <v>180</v>
      </c>
      <c r="H12" s="154">
        <f>Table8[[#This Row],[GST Amount]]+Table8[[#This Row],[Amount]]</f>
        <v>1180</v>
      </c>
    </row>
    <row r="13" spans="1:16" ht="15.75" thickBot="1" x14ac:dyDescent="0.3">
      <c r="A13" s="150">
        <v>1009</v>
      </c>
      <c r="B13" s="150" t="s">
        <v>2480</v>
      </c>
      <c r="C13" s="151">
        <v>100</v>
      </c>
      <c r="D13" s="152">
        <v>25</v>
      </c>
      <c r="E13" s="151">
        <f>Table8[[#This Row],[Rate]]*Table8[[#This Row],[Quantity]]</f>
        <v>2500</v>
      </c>
      <c r="F13" s="153">
        <v>0.12</v>
      </c>
      <c r="G13" s="154">
        <f>Table8[[#This Row],[Amount]]*Table8[[#This Row],[GST]]</f>
        <v>300</v>
      </c>
      <c r="H13" s="154">
        <f>Table8[[#This Row],[GST Amount]]+Table8[[#This Row],[Amount]]</f>
        <v>2800</v>
      </c>
    </row>
    <row r="14" spans="1:16" ht="15.75" thickBot="1" x14ac:dyDescent="0.3">
      <c r="A14" s="150">
        <v>1010</v>
      </c>
      <c r="B14" s="150" t="s">
        <v>2481</v>
      </c>
      <c r="C14" s="151">
        <v>200</v>
      </c>
      <c r="D14" s="152">
        <v>15</v>
      </c>
      <c r="E14" s="151">
        <f>Table8[[#This Row],[Rate]]*Table8[[#This Row],[Quantity]]</f>
        <v>3000</v>
      </c>
      <c r="F14" s="153">
        <v>0.18</v>
      </c>
      <c r="G14" s="154">
        <f>Table8[[#This Row],[Amount]]*Table8[[#This Row],[GST]]</f>
        <v>540</v>
      </c>
      <c r="H14" s="154">
        <f>Table8[[#This Row],[GST Amount]]+Table8[[#This Row],[Amount]]</f>
        <v>3540</v>
      </c>
    </row>
    <row r="15" spans="1:16" ht="15.75" thickBot="1" x14ac:dyDescent="0.3">
      <c r="A15" s="150">
        <v>1011</v>
      </c>
      <c r="B15" s="150" t="s">
        <v>2483</v>
      </c>
      <c r="C15" s="151">
        <v>1500</v>
      </c>
      <c r="D15" s="152">
        <v>6</v>
      </c>
      <c r="E15" s="151">
        <f>Table8[[#This Row],[Rate]]*Table8[[#This Row],[Quantity]]</f>
        <v>9000</v>
      </c>
      <c r="F15" s="153">
        <v>0.18</v>
      </c>
      <c r="G15" s="154">
        <f>Table8[[#This Row],[Amount]]*Table8[[#This Row],[GST]]</f>
        <v>1620</v>
      </c>
      <c r="H15" s="154">
        <f>Table8[[#This Row],[GST Amount]]+Table8[[#This Row],[Amount]]</f>
        <v>10620</v>
      </c>
    </row>
    <row r="16" spans="1:16" ht="15.75" thickBot="1" x14ac:dyDescent="0.3">
      <c r="A16" s="150">
        <v>1012</v>
      </c>
      <c r="B16" s="150" t="s">
        <v>2480</v>
      </c>
      <c r="C16" s="151">
        <v>100</v>
      </c>
      <c r="D16" s="152">
        <v>50</v>
      </c>
      <c r="E16" s="151">
        <f>Table8[[#This Row],[Rate]]*Table8[[#This Row],[Quantity]]</f>
        <v>5000</v>
      </c>
      <c r="F16" s="153">
        <v>0.12</v>
      </c>
      <c r="G16" s="154">
        <f>Table8[[#This Row],[Amount]]*Table8[[#This Row],[GST]]</f>
        <v>600</v>
      </c>
      <c r="H16" s="154">
        <f>Table8[[#This Row],[GST Amount]]+Table8[[#This Row],[Amount]]</f>
        <v>5600</v>
      </c>
    </row>
    <row r="17" spans="1:8" ht="15.75" thickBot="1" x14ac:dyDescent="0.3">
      <c r="A17" s="150">
        <v>1013</v>
      </c>
      <c r="B17" s="150" t="s">
        <v>2481</v>
      </c>
      <c r="C17" s="151">
        <v>250</v>
      </c>
      <c r="D17" s="152">
        <v>10</v>
      </c>
      <c r="E17" s="151">
        <f>Table8[[#This Row],[Rate]]*Table8[[#This Row],[Quantity]]</f>
        <v>2500</v>
      </c>
      <c r="F17" s="153">
        <v>0.18</v>
      </c>
      <c r="G17" s="154">
        <f>Table8[[#This Row],[Amount]]*Table8[[#This Row],[GST]]</f>
        <v>450</v>
      </c>
      <c r="H17" s="154">
        <f>Table8[[#This Row],[GST Amount]]+Table8[[#This Row],[Amount]]</f>
        <v>2950</v>
      </c>
    </row>
    <row r="18" spans="1:8" ht="15.75" thickBot="1" x14ac:dyDescent="0.3">
      <c r="A18" s="155">
        <v>1014</v>
      </c>
      <c r="B18" s="155" t="s">
        <v>2483</v>
      </c>
      <c r="C18" s="156">
        <v>2500</v>
      </c>
      <c r="D18" s="157">
        <v>4</v>
      </c>
      <c r="E18" s="151">
        <f>Table8[[#This Row],[Rate]]*Table8[[#This Row],[Quantity]]</f>
        <v>10000</v>
      </c>
      <c r="F18" s="158">
        <v>0.18</v>
      </c>
      <c r="G18" s="154">
        <f>Table8[[#This Row],[Amount]]*Table8[[#This Row],[GST]]</f>
        <v>1800</v>
      </c>
      <c r="H18" s="154">
        <f>Table8[[#This Row],[GST Amount]]+Table8[[#This Row],[Amount]]</f>
        <v>11800</v>
      </c>
    </row>
    <row r="19" spans="1:8" ht="15.75" thickBot="1" x14ac:dyDescent="0.3">
      <c r="A19" s="155">
        <v>1015</v>
      </c>
      <c r="B19" s="155" t="s">
        <v>2480</v>
      </c>
      <c r="C19" s="156">
        <v>100</v>
      </c>
      <c r="D19" s="157">
        <v>12</v>
      </c>
      <c r="E19" s="156">
        <f>Table8[[#This Row],[Rate]]*Table8[[#This Row],[Quantity]]</f>
        <v>1200</v>
      </c>
      <c r="F19" s="158">
        <v>0.12</v>
      </c>
      <c r="G19" s="154">
        <f>Table8[[#This Row],[Amount]]*Table8[[#This Row],[GST]]</f>
        <v>144</v>
      </c>
      <c r="H19" s="154">
        <f>Table8[[#This Row],[GST Amount]]+Table8[[#This Row],[Amount]]</f>
        <v>1344</v>
      </c>
    </row>
    <row r="20" spans="1:8" ht="15.75" thickBot="1" x14ac:dyDescent="0.3">
      <c r="A20" s="150">
        <v>1016</v>
      </c>
      <c r="B20" s="150" t="s">
        <v>2488</v>
      </c>
      <c r="C20" s="151">
        <v>1200</v>
      </c>
      <c r="D20" s="152">
        <v>2</v>
      </c>
      <c r="E20" s="151">
        <f>Table8[[#This Row],[Rate]]*Table8[[#This Row],[Quantity]]</f>
        <v>2400</v>
      </c>
      <c r="F20" s="153">
        <v>0.18</v>
      </c>
      <c r="G20" s="154">
        <f>Table8[[#This Row],[Amount]]*Table8[[#This Row],[GST]]</f>
        <v>432</v>
      </c>
      <c r="H20" s="154">
        <f>Table8[[#This Row],[GST Amount]]+Table8[[#This Row],[Amount]]</f>
        <v>2832</v>
      </c>
    </row>
    <row r="21" spans="1:8" ht="15.75" thickBot="1" x14ac:dyDescent="0.3">
      <c r="A21" s="155">
        <v>1017</v>
      </c>
      <c r="B21" s="155" t="s">
        <v>2482</v>
      </c>
      <c r="C21" s="156">
        <v>1300</v>
      </c>
      <c r="D21" s="157">
        <v>4</v>
      </c>
      <c r="E21" s="156">
        <f>Table8[[#This Row],[Rate]]*Table8[[#This Row],[Quantity]]</f>
        <v>5200</v>
      </c>
      <c r="F21" s="158">
        <v>0.12</v>
      </c>
      <c r="G21" s="159">
        <f>Table8[[#This Row],[Amount]]*Table8[[#This Row],[GST]]</f>
        <v>624</v>
      </c>
      <c r="H21" s="159">
        <f>Table8[[#This Row],[GST Amount]]+Table8[[#This Row],[Amount]]</f>
        <v>5824</v>
      </c>
    </row>
    <row r="22" spans="1:8" ht="15.75" thickBot="1" x14ac:dyDescent="0.3">
      <c r="A22" s="150">
        <v>1018</v>
      </c>
      <c r="B22" s="150" t="s">
        <v>2481</v>
      </c>
      <c r="C22" s="151">
        <v>200</v>
      </c>
      <c r="D22" s="152">
        <v>25</v>
      </c>
      <c r="E22" s="151">
        <f>Table8[[#This Row],[Rate]]*Table8[[#This Row],[Quantity]]</f>
        <v>5000</v>
      </c>
      <c r="F22" s="153">
        <v>0.12</v>
      </c>
      <c r="G22" s="154">
        <f>Table8[[#This Row],[Amount]]*Table8[[#This Row],[GST]]</f>
        <v>600</v>
      </c>
      <c r="H22" s="154">
        <f>Table8[[#This Row],[GST Amount]]+Table8[[#This Row],[Amount]]</f>
        <v>5600</v>
      </c>
    </row>
    <row r="23" spans="1:8" ht="15.75" thickBot="1" x14ac:dyDescent="0.3">
      <c r="A23" s="155">
        <v>1019</v>
      </c>
      <c r="B23" s="155" t="s">
        <v>2480</v>
      </c>
      <c r="C23" s="156">
        <v>600</v>
      </c>
      <c r="D23" s="157">
        <v>10</v>
      </c>
      <c r="E23" s="156">
        <f>Table8[[#This Row],[Rate]]*Table8[[#This Row],[Quantity]]</f>
        <v>6000</v>
      </c>
      <c r="F23" s="158">
        <v>0.18</v>
      </c>
      <c r="G23" s="159">
        <f>Table8[[#This Row],[Amount]]*Table8[[#This Row],[GST]]</f>
        <v>1080</v>
      </c>
      <c r="H23" s="159">
        <f>Table8[[#This Row],[GST Amount]]+Table8[[#This Row],[Amount]]</f>
        <v>7080</v>
      </c>
    </row>
    <row r="24" spans="1:8" ht="15.75" thickBot="1" x14ac:dyDescent="0.3">
      <c r="A24" s="155">
        <v>1020</v>
      </c>
      <c r="B24" s="155" t="s">
        <v>2488</v>
      </c>
      <c r="C24" s="156">
        <v>120</v>
      </c>
      <c r="D24" s="157">
        <v>15</v>
      </c>
      <c r="E24" s="156">
        <f>Table8[[#This Row],[Rate]]*Table8[[#This Row],[Quantity]]</f>
        <v>1800</v>
      </c>
      <c r="F24" s="158">
        <v>0.18</v>
      </c>
      <c r="G24" s="159">
        <f>Table8[[#This Row],[Amount]]*Table8[[#This Row],[GST]]</f>
        <v>324</v>
      </c>
      <c r="H24" s="159">
        <f>Table8[[#This Row],[GST Amount]]+Table8[[#This Row],[Amount]]</f>
        <v>2124</v>
      </c>
    </row>
    <row r="25" spans="1:8" x14ac:dyDescent="0.25">
      <c r="A25" s="155">
        <v>1021</v>
      </c>
      <c r="B25" s="155" t="s">
        <v>2481</v>
      </c>
      <c r="C25" s="156">
        <v>700</v>
      </c>
      <c r="D25" s="157">
        <v>12</v>
      </c>
      <c r="E25" s="156">
        <f>Table8[[#This Row],[Rate]]*Table8[[#This Row],[Quantity]]</f>
        <v>8400</v>
      </c>
      <c r="F25" s="158">
        <v>0.12</v>
      </c>
      <c r="G25" s="159">
        <f>Table8[[#This Row],[Amount]]*Table8[[#This Row],[GST]]</f>
        <v>1008</v>
      </c>
      <c r="H25" s="159">
        <f>Table8[[#This Row],[GST Amount]]+Table8[[#This Row],[Amount]]</f>
        <v>9408</v>
      </c>
    </row>
  </sheetData>
  <mergeCells count="3">
    <mergeCell ref="A1:H1"/>
    <mergeCell ref="A2:H2"/>
    <mergeCell ref="A3:H3"/>
  </mergeCells>
  <conditionalFormatting sqref="A5:H1000">
    <cfRule type="expression" dxfId="104" priority="1">
      <formula>NOT(ISBLANK($A5))</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8FFD8-1114-44BE-AA9B-ADAA66E1FF0F}">
  <sheetPr codeName="Sheet15"/>
  <dimension ref="A1:M31"/>
  <sheetViews>
    <sheetView showGridLines="0" workbookViewId="0">
      <selection activeCell="G8" sqref="G8"/>
    </sheetView>
  </sheetViews>
  <sheetFormatPr defaultRowHeight="15" x14ac:dyDescent="0.25"/>
  <cols>
    <col min="1" max="1" width="12.85546875" customWidth="1"/>
    <col min="2" max="2" width="10.140625" customWidth="1"/>
    <col min="3" max="3" width="9.7109375" customWidth="1"/>
    <col min="7" max="7" width="16.7109375" bestFit="1" customWidth="1"/>
    <col min="8" max="8" width="8.7109375" bestFit="1" customWidth="1"/>
    <col min="9" max="9" width="13.140625" bestFit="1" customWidth="1"/>
    <col min="13" max="13" width="10.140625" hidden="1" customWidth="1"/>
  </cols>
  <sheetData>
    <row r="1" spans="1:13" x14ac:dyDescent="0.25">
      <c r="A1" s="170" t="s">
        <v>2498</v>
      </c>
      <c r="B1" s="171" t="s">
        <v>2499</v>
      </c>
      <c r="C1" s="172" t="s">
        <v>4</v>
      </c>
      <c r="M1" s="171" t="s">
        <v>2499</v>
      </c>
    </row>
    <row r="2" spans="1:13" x14ac:dyDescent="0.25">
      <c r="A2" s="173" t="s">
        <v>2500</v>
      </c>
      <c r="B2" s="174" t="s">
        <v>2501</v>
      </c>
      <c r="C2" s="175">
        <v>4264</v>
      </c>
      <c r="G2" s="179" t="s">
        <v>2515</v>
      </c>
      <c r="H2" s="179" t="s">
        <v>2499</v>
      </c>
      <c r="I2" s="179" t="s">
        <v>2509</v>
      </c>
      <c r="M2" s="174" t="s">
        <v>2501</v>
      </c>
    </row>
    <row r="3" spans="1:13" x14ac:dyDescent="0.25">
      <c r="A3" s="173" t="s">
        <v>2500</v>
      </c>
      <c r="B3" s="174" t="s">
        <v>2401</v>
      </c>
      <c r="C3" s="175">
        <v>1001</v>
      </c>
      <c r="G3" s="180" t="s">
        <v>2510</v>
      </c>
      <c r="H3" s="180" t="s">
        <v>2401</v>
      </c>
      <c r="I3" s="187">
        <f t="array" ref="I3">SUMIFS(Table9[Amount],Table9[Location],$H$3,Table9[Customer ID],VLOOKUP($G$3,Table10[],2,0))</f>
        <v>5096</v>
      </c>
      <c r="M3" s="174" t="s">
        <v>2401</v>
      </c>
    </row>
    <row r="4" spans="1:13" x14ac:dyDescent="0.25">
      <c r="A4" s="173" t="s">
        <v>2500</v>
      </c>
      <c r="B4" s="174" t="s">
        <v>2502</v>
      </c>
      <c r="C4" s="175">
        <v>2260</v>
      </c>
      <c r="M4" s="174" t="s">
        <v>2502</v>
      </c>
    </row>
    <row r="5" spans="1:13" x14ac:dyDescent="0.25">
      <c r="A5" s="173" t="s">
        <v>2503</v>
      </c>
      <c r="B5" s="174" t="s">
        <v>2401</v>
      </c>
      <c r="C5" s="175">
        <v>4429</v>
      </c>
      <c r="M5" s="174" t="s">
        <v>2507</v>
      </c>
    </row>
    <row r="6" spans="1:13" x14ac:dyDescent="0.25">
      <c r="A6" s="173" t="s">
        <v>2504</v>
      </c>
      <c r="B6" s="174" t="s">
        <v>2502</v>
      </c>
      <c r="C6" s="175">
        <v>3498</v>
      </c>
      <c r="M6" s="174" t="s">
        <v>2508</v>
      </c>
    </row>
    <row r="7" spans="1:13" x14ac:dyDescent="0.25">
      <c r="A7" s="173" t="s">
        <v>2505</v>
      </c>
      <c r="B7" s="174" t="s">
        <v>2401</v>
      </c>
      <c r="C7" s="175">
        <v>3752</v>
      </c>
    </row>
    <row r="8" spans="1:13" x14ac:dyDescent="0.25">
      <c r="A8" s="173" t="s">
        <v>2506</v>
      </c>
      <c r="B8" s="174" t="s">
        <v>2401</v>
      </c>
      <c r="C8" s="175">
        <v>1977</v>
      </c>
    </row>
    <row r="9" spans="1:13" x14ac:dyDescent="0.25">
      <c r="A9" s="173" t="s">
        <v>2506</v>
      </c>
      <c r="B9" s="174" t="s">
        <v>2401</v>
      </c>
      <c r="C9" s="175">
        <v>1001</v>
      </c>
    </row>
    <row r="10" spans="1:13" x14ac:dyDescent="0.25">
      <c r="A10" s="173" t="s">
        <v>2504</v>
      </c>
      <c r="B10" s="174" t="s">
        <v>2401</v>
      </c>
      <c r="C10" s="175">
        <v>2269</v>
      </c>
    </row>
    <row r="11" spans="1:13" x14ac:dyDescent="0.25">
      <c r="A11" s="173" t="s">
        <v>2506</v>
      </c>
      <c r="B11" s="174" t="s">
        <v>2502</v>
      </c>
      <c r="C11" s="175">
        <v>2260</v>
      </c>
    </row>
    <row r="12" spans="1:13" x14ac:dyDescent="0.25">
      <c r="A12" s="173" t="s">
        <v>2505</v>
      </c>
      <c r="B12" s="174" t="s">
        <v>2507</v>
      </c>
      <c r="C12" s="175">
        <v>2269</v>
      </c>
    </row>
    <row r="13" spans="1:13" x14ac:dyDescent="0.25">
      <c r="A13" s="173" t="s">
        <v>2503</v>
      </c>
      <c r="B13" s="174" t="s">
        <v>2501</v>
      </c>
      <c r="C13" s="175">
        <v>3718</v>
      </c>
    </row>
    <row r="14" spans="1:13" x14ac:dyDescent="0.25">
      <c r="A14" s="173" t="s">
        <v>2503</v>
      </c>
      <c r="B14" s="174" t="s">
        <v>2508</v>
      </c>
      <c r="C14" s="175">
        <v>2260</v>
      </c>
    </row>
    <row r="15" spans="1:13" x14ac:dyDescent="0.25">
      <c r="A15" s="173" t="s">
        <v>2506</v>
      </c>
      <c r="B15" s="174" t="s">
        <v>2507</v>
      </c>
      <c r="C15" s="175">
        <v>2585</v>
      </c>
    </row>
    <row r="16" spans="1:13" x14ac:dyDescent="0.25">
      <c r="A16" s="173" t="s">
        <v>2500</v>
      </c>
      <c r="B16" s="174" t="s">
        <v>2401</v>
      </c>
      <c r="C16" s="175">
        <v>1833</v>
      </c>
    </row>
    <row r="17" spans="1:3" x14ac:dyDescent="0.25">
      <c r="A17" s="173" t="s">
        <v>2505</v>
      </c>
      <c r="B17" s="174" t="s">
        <v>2508</v>
      </c>
      <c r="C17" s="175">
        <v>3498</v>
      </c>
    </row>
    <row r="18" spans="1:3" x14ac:dyDescent="0.25">
      <c r="A18" s="173" t="s">
        <v>2505</v>
      </c>
      <c r="B18" s="174" t="s">
        <v>2401</v>
      </c>
      <c r="C18" s="175">
        <v>2585</v>
      </c>
    </row>
    <row r="19" spans="1:3" x14ac:dyDescent="0.25">
      <c r="A19" s="173" t="s">
        <v>2504</v>
      </c>
      <c r="B19" s="174" t="s">
        <v>2401</v>
      </c>
      <c r="C19" s="175">
        <v>2827</v>
      </c>
    </row>
    <row r="20" spans="1:3" x14ac:dyDescent="0.25">
      <c r="A20" s="173" t="s">
        <v>2505</v>
      </c>
      <c r="B20" s="174" t="s">
        <v>2502</v>
      </c>
      <c r="C20" s="175">
        <v>2827</v>
      </c>
    </row>
    <row r="21" spans="1:3" x14ac:dyDescent="0.25">
      <c r="A21" s="173" t="s">
        <v>2503</v>
      </c>
      <c r="B21" s="174" t="s">
        <v>2502</v>
      </c>
      <c r="C21" s="175">
        <v>1001</v>
      </c>
    </row>
    <row r="22" spans="1:3" x14ac:dyDescent="0.25">
      <c r="A22" s="173" t="s">
        <v>2506</v>
      </c>
      <c r="B22" s="174" t="s">
        <v>2508</v>
      </c>
      <c r="C22" s="175">
        <v>1977</v>
      </c>
    </row>
    <row r="23" spans="1:3" x14ac:dyDescent="0.25">
      <c r="A23" s="173" t="s">
        <v>2500</v>
      </c>
      <c r="B23" s="174" t="s">
        <v>2507</v>
      </c>
      <c r="C23" s="175">
        <v>3718</v>
      </c>
    </row>
    <row r="24" spans="1:3" x14ac:dyDescent="0.25">
      <c r="A24" s="173" t="s">
        <v>2505</v>
      </c>
      <c r="B24" s="174" t="s">
        <v>2501</v>
      </c>
      <c r="C24" s="175">
        <v>4450</v>
      </c>
    </row>
    <row r="25" spans="1:3" x14ac:dyDescent="0.25">
      <c r="A25" s="173" t="s">
        <v>2504</v>
      </c>
      <c r="B25" s="174" t="s">
        <v>2508</v>
      </c>
      <c r="C25" s="175">
        <v>4429</v>
      </c>
    </row>
    <row r="26" spans="1:3" x14ac:dyDescent="0.25">
      <c r="A26" s="173" t="s">
        <v>2503</v>
      </c>
      <c r="B26" s="174" t="s">
        <v>2507</v>
      </c>
      <c r="C26" s="175">
        <v>1833</v>
      </c>
    </row>
    <row r="27" spans="1:3" x14ac:dyDescent="0.25">
      <c r="A27" s="173" t="s">
        <v>2504</v>
      </c>
      <c r="B27" s="174" t="s">
        <v>2501</v>
      </c>
      <c r="C27" s="175">
        <v>3752</v>
      </c>
    </row>
    <row r="28" spans="1:3" x14ac:dyDescent="0.25">
      <c r="A28" s="173" t="s">
        <v>2504</v>
      </c>
      <c r="B28" s="174" t="s">
        <v>2507</v>
      </c>
      <c r="C28" s="175">
        <v>4450</v>
      </c>
    </row>
    <row r="29" spans="1:3" x14ac:dyDescent="0.25">
      <c r="A29" s="173" t="s">
        <v>2506</v>
      </c>
      <c r="B29" s="174" t="s">
        <v>2501</v>
      </c>
      <c r="C29" s="175">
        <v>4264</v>
      </c>
    </row>
    <row r="30" spans="1:3" x14ac:dyDescent="0.25">
      <c r="A30" s="173" t="s">
        <v>2500</v>
      </c>
      <c r="B30" s="174" t="s">
        <v>2508</v>
      </c>
      <c r="C30" s="175">
        <v>1977</v>
      </c>
    </row>
    <row r="31" spans="1:3" x14ac:dyDescent="0.25">
      <c r="A31" s="176" t="s">
        <v>2503</v>
      </c>
      <c r="B31" s="177" t="s">
        <v>2401</v>
      </c>
      <c r="C31" s="178">
        <v>4264</v>
      </c>
    </row>
  </sheetData>
  <dataValidations count="1">
    <dataValidation type="list" allowBlank="1" showInputMessage="1" showErrorMessage="1" sqref="G3:H3" xr:uid="{DBD44A5E-3E16-4DB5-B38D-35732EF95692}">
      <formula1>INDIRECT(G$2)</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1" id="{869A9EE7-F757-46AA-830C-4318BFDAD86B}">
            <xm:f>AND($A2=VLOOKUP($G$3,Sheet17!$E$4:$F$8,2,0),$B2=$H$3)</xm:f>
            <x14:dxf>
              <font>
                <b/>
                <i/>
                <color rgb="FFFF0000"/>
              </font>
              <fill>
                <patternFill>
                  <bgColor rgb="FFFFC000"/>
                </patternFill>
              </fill>
              <border>
                <left style="thin">
                  <color rgb="FF002060"/>
                </left>
                <right style="thin">
                  <color rgb="FF002060"/>
                </right>
                <top style="thin">
                  <color rgb="FF002060"/>
                </top>
                <bottom style="thin">
                  <color rgb="FF002060"/>
                </bottom>
                <vertical/>
                <horizontal/>
              </border>
            </x14:dxf>
          </x14:cfRule>
          <xm:sqref>A2:C31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1E684-3BEE-4DAC-A196-BA8D0AEAD67F}">
  <sheetPr codeName="Sheet16"/>
  <dimension ref="E3:F8"/>
  <sheetViews>
    <sheetView workbookViewId="0">
      <selection activeCell="E12" sqref="E12"/>
    </sheetView>
  </sheetViews>
  <sheetFormatPr defaultRowHeight="15" x14ac:dyDescent="0.25"/>
  <cols>
    <col min="5" max="5" width="17.5703125" customWidth="1"/>
    <col min="6" max="6" width="16.7109375" customWidth="1"/>
  </cols>
  <sheetData>
    <row r="3" spans="5:6" ht="15.75" thickBot="1" x14ac:dyDescent="0.3">
      <c r="E3" s="181" t="s">
        <v>1</v>
      </c>
      <c r="F3" s="182" t="s">
        <v>2498</v>
      </c>
    </row>
    <row r="4" spans="5:6" ht="16.5" thickTop="1" thickBot="1" x14ac:dyDescent="0.3">
      <c r="E4" s="183" t="s">
        <v>2510</v>
      </c>
      <c r="F4" s="184" t="s">
        <v>2504</v>
      </c>
    </row>
    <row r="5" spans="5:6" ht="16.5" thickTop="1" thickBot="1" x14ac:dyDescent="0.3">
      <c r="E5" s="183" t="s">
        <v>2511</v>
      </c>
      <c r="F5" s="184" t="s">
        <v>2505</v>
      </c>
    </row>
    <row r="6" spans="5:6" ht="16.5" thickTop="1" thickBot="1" x14ac:dyDescent="0.3">
      <c r="E6" s="183" t="s">
        <v>2512</v>
      </c>
      <c r="F6" s="184" t="s">
        <v>2506</v>
      </c>
    </row>
    <row r="7" spans="5:6" ht="16.5" thickTop="1" thickBot="1" x14ac:dyDescent="0.3">
      <c r="E7" s="183" t="s">
        <v>2513</v>
      </c>
      <c r="F7" s="184" t="s">
        <v>2500</v>
      </c>
    </row>
    <row r="8" spans="5:6" ht="15.75" thickTop="1" x14ac:dyDescent="0.25">
      <c r="E8" s="185" t="s">
        <v>2514</v>
      </c>
      <c r="F8" s="186" t="s">
        <v>2503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14C5F-5025-4834-B92A-ABDADB138658}">
  <sheetPr codeName="Sheet17"/>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D53F9-BD43-4130-B8EA-76DF66B7F40C}">
  <sheetPr codeName="Sheet18"/>
  <dimension ref="A1"/>
  <sheetViews>
    <sheetView workbookViewId="0"/>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FD030-3FFB-49D5-AF1E-22AAD7A94FF4}">
  <sheetPr codeName="Sheet19"/>
  <dimension ref="A1"/>
  <sheetViews>
    <sheetView workbookViewId="0"/>
  </sheetViews>
  <sheetFormatPr defaultRowHeight="15" x14ac:dyDescent="0.2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51B3B-23D3-4DB1-848C-40B33A047975}">
  <sheetPr codeName="Sheet20"/>
  <dimension ref="A1:H33"/>
  <sheetViews>
    <sheetView showGridLines="0" zoomScale="90" zoomScaleNormal="90" workbookViewId="0">
      <selection activeCell="C2" sqref="C2"/>
    </sheetView>
  </sheetViews>
  <sheetFormatPr defaultRowHeight="15" x14ac:dyDescent="0.25"/>
  <cols>
    <col min="1" max="1" width="15.7109375" bestFit="1" customWidth="1"/>
    <col min="2" max="2" width="20.5703125" bestFit="1" customWidth="1"/>
    <col min="3" max="3" width="18" bestFit="1" customWidth="1"/>
    <col min="4" max="4" width="15.7109375" bestFit="1" customWidth="1"/>
    <col min="5" max="5" width="14" bestFit="1" customWidth="1"/>
    <col min="6" max="6" width="16.28515625" bestFit="1" customWidth="1"/>
    <col min="7" max="7" width="13.28515625" bestFit="1" customWidth="1"/>
    <col min="8" max="8" width="12" bestFit="1" customWidth="1"/>
  </cols>
  <sheetData>
    <row r="1" spans="1:8" x14ac:dyDescent="0.25">
      <c r="B1" t="s">
        <v>2518</v>
      </c>
      <c r="C1" t="str">
        <f>B7</f>
        <v>Anuj Enterprises</v>
      </c>
      <c r="D1" t="str">
        <f t="shared" ref="D1:H1" si="0">C7</f>
        <v>Dev Retail Venture</v>
      </c>
      <c r="E1" t="str">
        <f t="shared" si="0"/>
        <v>Garvit Garments</v>
      </c>
      <c r="F1" t="str">
        <f t="shared" si="0"/>
        <v>Pankaj Traders</v>
      </c>
      <c r="G1" t="str">
        <f t="shared" si="0"/>
        <v>Satya Enterprises</v>
      </c>
      <c r="H1" t="str">
        <f t="shared" si="0"/>
        <v>Vaibhav Sales</v>
      </c>
    </row>
    <row r="2" spans="1:8" x14ac:dyDescent="0.25">
      <c r="B2" t="s">
        <v>2533</v>
      </c>
      <c r="C2" t="e">
        <f>GETPIVOTDATA("[Measures].[Sum of Sales]",$A$6,"[customer_data].[Customer Name]","[customer_data].[Customer Name]."&amp;C$1,"[Sales_Data].[Product]","[Sales_Data].[Product]."&amp;$B2)</f>
        <v>#REF!</v>
      </c>
      <c r="D2" t="e">
        <f t="shared" ref="D2:H4" si="1">GETPIVOTDATA("[Measures].[Sum of Sales]",$A$6,"[customer_data].[Customer Name]",D$1,"[Sales_Data].[Product]",$B2)</f>
        <v>#REF!</v>
      </c>
      <c r="E2" t="e">
        <f t="shared" si="1"/>
        <v>#REF!</v>
      </c>
      <c r="F2" t="e">
        <f>GETPIVOTDATA("[Measures].[Sum of Sales]",$A$6,"[customer_data].[Customer Name]","[customer_data].[Customer Name].","[Sales_Data].[Product]","[Sales_Data].[Product].&amp;[Wheels]")</f>
        <v>#REF!</v>
      </c>
      <c r="G2" t="e">
        <f t="shared" si="1"/>
        <v>#REF!</v>
      </c>
      <c r="H2" t="e">
        <f t="shared" si="1"/>
        <v>#REF!</v>
      </c>
    </row>
    <row r="3" spans="1:8" x14ac:dyDescent="0.25">
      <c r="B3" t="s">
        <v>2524</v>
      </c>
      <c r="C3" t="e">
        <f t="shared" ref="C3:C4" si="2">GETPIVOTDATA("[Measures].[Sum of Sales]",$A$6,"[customer_data].[Customer Name]",C$1,"[Sales_Data].[Product]",$B3)</f>
        <v>#REF!</v>
      </c>
      <c r="D3" t="e">
        <f t="shared" si="1"/>
        <v>#REF!</v>
      </c>
      <c r="E3" t="e">
        <f t="shared" si="1"/>
        <v>#REF!</v>
      </c>
      <c r="F3" t="e">
        <f t="shared" si="1"/>
        <v>#REF!</v>
      </c>
      <c r="G3" t="e">
        <f t="shared" si="1"/>
        <v>#REF!</v>
      </c>
      <c r="H3" t="e">
        <f t="shared" si="1"/>
        <v>#REF!</v>
      </c>
    </row>
    <row r="4" spans="1:8" x14ac:dyDescent="0.25">
      <c r="B4" t="s">
        <v>2545</v>
      </c>
      <c r="C4" t="e">
        <f t="shared" si="2"/>
        <v>#REF!</v>
      </c>
      <c r="D4" t="e">
        <f t="shared" si="1"/>
        <v>#REF!</v>
      </c>
      <c r="E4" t="e">
        <f t="shared" si="1"/>
        <v>#REF!</v>
      </c>
      <c r="F4" t="e">
        <f t="shared" si="1"/>
        <v>#REF!</v>
      </c>
      <c r="G4" t="e">
        <f t="shared" si="1"/>
        <v>#REF!</v>
      </c>
      <c r="H4" t="e">
        <f t="shared" si="1"/>
        <v>#REF!</v>
      </c>
    </row>
    <row r="6" spans="1:8" x14ac:dyDescent="0.25">
      <c r="A6" s="205" t="s">
        <v>1823</v>
      </c>
      <c r="B6" s="205" t="s">
        <v>1</v>
      </c>
      <c r="C6" s="206"/>
      <c r="D6" s="206"/>
      <c r="E6" s="206"/>
      <c r="F6" s="206"/>
      <c r="G6" s="206"/>
      <c r="H6" s="206"/>
    </row>
    <row r="7" spans="1:8" x14ac:dyDescent="0.25">
      <c r="A7" s="205" t="s">
        <v>2518</v>
      </c>
      <c r="B7" s="206" t="s">
        <v>2552</v>
      </c>
      <c r="C7" s="206" t="s">
        <v>2549</v>
      </c>
      <c r="D7" s="206" t="s">
        <v>2551</v>
      </c>
      <c r="E7" s="206" t="s">
        <v>2510</v>
      </c>
      <c r="F7" s="206" t="s">
        <v>12</v>
      </c>
      <c r="G7" s="206" t="s">
        <v>2550</v>
      </c>
      <c r="H7" s="206" t="s">
        <v>2553</v>
      </c>
    </row>
    <row r="8" spans="1:8" x14ac:dyDescent="0.25">
      <c r="A8" s="206" t="s">
        <v>2543</v>
      </c>
      <c r="B8" s="207"/>
      <c r="C8" s="207">
        <v>38500</v>
      </c>
      <c r="D8" s="207"/>
      <c r="E8" s="207"/>
      <c r="F8" s="207"/>
      <c r="G8" s="207">
        <v>10000</v>
      </c>
      <c r="H8" s="207">
        <v>48500</v>
      </c>
    </row>
    <row r="9" spans="1:8" x14ac:dyDescent="0.25">
      <c r="A9" s="206" t="s">
        <v>2524</v>
      </c>
      <c r="B9" s="207"/>
      <c r="C9" s="207">
        <v>700</v>
      </c>
      <c r="D9" s="207">
        <v>2900</v>
      </c>
      <c r="E9" s="207"/>
      <c r="F9" s="207"/>
      <c r="G9" s="207">
        <v>4000</v>
      </c>
      <c r="H9" s="207">
        <v>7600</v>
      </c>
    </row>
    <row r="10" spans="1:8" x14ac:dyDescent="0.25">
      <c r="A10" s="206" t="s">
        <v>2535</v>
      </c>
      <c r="B10" s="207"/>
      <c r="C10" s="207">
        <v>1000</v>
      </c>
      <c r="D10" s="207">
        <v>600</v>
      </c>
      <c r="E10" s="207">
        <v>500</v>
      </c>
      <c r="F10" s="207"/>
      <c r="G10" s="207"/>
      <c r="H10" s="207">
        <v>2100</v>
      </c>
    </row>
    <row r="11" spans="1:8" x14ac:dyDescent="0.25">
      <c r="A11" s="206" t="s">
        <v>2544</v>
      </c>
      <c r="B11" s="207"/>
      <c r="C11" s="207">
        <v>3100</v>
      </c>
      <c r="D11" s="207">
        <v>500</v>
      </c>
      <c r="E11" s="207"/>
      <c r="F11" s="207"/>
      <c r="G11" s="207">
        <v>1800</v>
      </c>
      <c r="H11" s="207">
        <v>5400</v>
      </c>
    </row>
    <row r="12" spans="1:8" x14ac:dyDescent="0.25">
      <c r="A12" s="206" t="s">
        <v>2546</v>
      </c>
      <c r="B12" s="207"/>
      <c r="C12" s="207">
        <v>800</v>
      </c>
      <c r="D12" s="207">
        <v>1500</v>
      </c>
      <c r="E12" s="207"/>
      <c r="F12" s="207">
        <v>6200</v>
      </c>
      <c r="G12" s="207"/>
      <c r="H12" s="207">
        <v>8500</v>
      </c>
    </row>
    <row r="13" spans="1:8" x14ac:dyDescent="0.25">
      <c r="A13" s="206" t="s">
        <v>2541</v>
      </c>
      <c r="B13" s="207"/>
      <c r="C13" s="207"/>
      <c r="D13" s="207">
        <v>400</v>
      </c>
      <c r="E13" s="207">
        <v>500</v>
      </c>
      <c r="F13" s="207">
        <v>600</v>
      </c>
      <c r="G13" s="207"/>
      <c r="H13" s="207">
        <v>1500</v>
      </c>
    </row>
    <row r="14" spans="1:8" x14ac:dyDescent="0.25">
      <c r="A14" s="206" t="s">
        <v>2542</v>
      </c>
      <c r="B14" s="207"/>
      <c r="C14" s="207">
        <v>16400</v>
      </c>
      <c r="D14" s="207"/>
      <c r="E14" s="207">
        <v>30700</v>
      </c>
      <c r="F14" s="207">
        <v>700</v>
      </c>
      <c r="G14" s="207"/>
      <c r="H14" s="207">
        <v>47800</v>
      </c>
    </row>
    <row r="15" spans="1:8" x14ac:dyDescent="0.25">
      <c r="A15" s="206" t="s">
        <v>2532</v>
      </c>
      <c r="B15" s="207"/>
      <c r="C15" s="207"/>
      <c r="D15" s="207">
        <v>34000</v>
      </c>
      <c r="E15" s="207"/>
      <c r="F15" s="207">
        <v>17000</v>
      </c>
      <c r="G15" s="207">
        <v>8300</v>
      </c>
      <c r="H15" s="207">
        <v>59300</v>
      </c>
    </row>
    <row r="16" spans="1:8" x14ac:dyDescent="0.25">
      <c r="A16" s="206" t="s">
        <v>2537</v>
      </c>
      <c r="B16" s="207"/>
      <c r="C16" s="207"/>
      <c r="D16" s="207"/>
      <c r="E16" s="207">
        <v>25200</v>
      </c>
      <c r="F16" s="207">
        <v>3500</v>
      </c>
      <c r="G16" s="207"/>
      <c r="H16" s="207">
        <v>28700</v>
      </c>
    </row>
    <row r="17" spans="1:8" x14ac:dyDescent="0.25">
      <c r="A17" s="206" t="s">
        <v>2528</v>
      </c>
      <c r="B17" s="207"/>
      <c r="C17" s="207">
        <v>5700</v>
      </c>
      <c r="D17" s="207">
        <v>5400</v>
      </c>
      <c r="E17" s="207"/>
      <c r="F17" s="207"/>
      <c r="G17" s="207"/>
      <c r="H17" s="207">
        <v>11100</v>
      </c>
    </row>
    <row r="18" spans="1:8" x14ac:dyDescent="0.25">
      <c r="A18" s="206" t="s">
        <v>2525</v>
      </c>
      <c r="B18" s="207"/>
      <c r="C18" s="207"/>
      <c r="D18" s="207">
        <v>13300</v>
      </c>
      <c r="E18" s="207">
        <v>23000</v>
      </c>
      <c r="F18" s="207">
        <v>12000</v>
      </c>
      <c r="G18" s="207"/>
      <c r="H18" s="207">
        <v>48300</v>
      </c>
    </row>
    <row r="19" spans="1:8" x14ac:dyDescent="0.25">
      <c r="A19" s="206" t="s">
        <v>2545</v>
      </c>
      <c r="B19" s="207"/>
      <c r="C19" s="207"/>
      <c r="D19" s="207">
        <v>1300</v>
      </c>
      <c r="E19" s="207"/>
      <c r="F19" s="207">
        <v>5700</v>
      </c>
      <c r="G19" s="207"/>
      <c r="H19" s="207">
        <v>7000</v>
      </c>
    </row>
    <row r="20" spans="1:8" x14ac:dyDescent="0.25">
      <c r="A20" s="206" t="s">
        <v>2523</v>
      </c>
      <c r="B20" s="207"/>
      <c r="C20" s="207">
        <v>3700</v>
      </c>
      <c r="D20" s="207">
        <v>3700</v>
      </c>
      <c r="E20" s="207">
        <v>2300</v>
      </c>
      <c r="F20" s="207"/>
      <c r="G20" s="207"/>
      <c r="H20" s="207">
        <v>9700</v>
      </c>
    </row>
    <row r="21" spans="1:8" x14ac:dyDescent="0.25">
      <c r="A21" s="206" t="s">
        <v>2521</v>
      </c>
      <c r="B21" s="207"/>
      <c r="C21" s="207"/>
      <c r="D21" s="207"/>
      <c r="E21" s="207">
        <v>20000</v>
      </c>
      <c r="F21" s="207"/>
      <c r="G21" s="207">
        <v>25100</v>
      </c>
      <c r="H21" s="207">
        <v>45100</v>
      </c>
    </row>
    <row r="22" spans="1:8" x14ac:dyDescent="0.25">
      <c r="A22" s="206" t="s">
        <v>2538</v>
      </c>
      <c r="B22" s="207"/>
      <c r="C22" s="207"/>
      <c r="D22" s="207">
        <v>13800</v>
      </c>
      <c r="E22" s="207">
        <v>63700</v>
      </c>
      <c r="F22" s="207">
        <v>8700</v>
      </c>
      <c r="G22" s="207"/>
      <c r="H22" s="207">
        <v>86200</v>
      </c>
    </row>
    <row r="23" spans="1:8" x14ac:dyDescent="0.25">
      <c r="A23" s="206" t="s">
        <v>2540</v>
      </c>
      <c r="B23" s="207">
        <v>300</v>
      </c>
      <c r="C23" s="207"/>
      <c r="D23" s="207">
        <v>33700</v>
      </c>
      <c r="E23" s="207"/>
      <c r="F23" s="207"/>
      <c r="G23" s="207">
        <v>22100</v>
      </c>
      <c r="H23" s="207">
        <v>56100</v>
      </c>
    </row>
    <row r="24" spans="1:8" x14ac:dyDescent="0.25">
      <c r="A24" s="206" t="s">
        <v>2548</v>
      </c>
      <c r="B24" s="207">
        <v>3100</v>
      </c>
      <c r="C24" s="207"/>
      <c r="D24" s="207"/>
      <c r="E24" s="207">
        <v>4900</v>
      </c>
      <c r="F24" s="207"/>
      <c r="G24" s="207"/>
      <c r="H24" s="207">
        <v>8000</v>
      </c>
    </row>
    <row r="25" spans="1:8" x14ac:dyDescent="0.25">
      <c r="A25" s="206" t="s">
        <v>2530</v>
      </c>
      <c r="B25" s="207">
        <v>3100</v>
      </c>
      <c r="C25" s="207"/>
      <c r="D25" s="207"/>
      <c r="E25" s="207"/>
      <c r="F25" s="207"/>
      <c r="G25" s="207">
        <v>14800</v>
      </c>
      <c r="H25" s="207">
        <v>17900</v>
      </c>
    </row>
    <row r="26" spans="1:8" x14ac:dyDescent="0.25">
      <c r="A26" s="206" t="s">
        <v>2539</v>
      </c>
      <c r="B26" s="207">
        <v>3200</v>
      </c>
      <c r="C26" s="207">
        <v>16000</v>
      </c>
      <c r="D26" s="207"/>
      <c r="E26" s="207"/>
      <c r="F26" s="207"/>
      <c r="G26" s="207"/>
      <c r="H26" s="207">
        <v>19200</v>
      </c>
    </row>
    <row r="27" spans="1:8" x14ac:dyDescent="0.25">
      <c r="A27" s="206" t="s">
        <v>2526</v>
      </c>
      <c r="B27" s="207">
        <v>3300</v>
      </c>
      <c r="C27" s="207"/>
      <c r="D27" s="207"/>
      <c r="E27" s="207"/>
      <c r="F27" s="207">
        <v>58100</v>
      </c>
      <c r="G27" s="207"/>
      <c r="H27" s="207">
        <v>61400</v>
      </c>
    </row>
    <row r="28" spans="1:8" x14ac:dyDescent="0.25">
      <c r="A28" s="206" t="s">
        <v>2527</v>
      </c>
      <c r="B28" s="207">
        <v>7300</v>
      </c>
      <c r="C28" s="207"/>
      <c r="D28" s="207"/>
      <c r="E28" s="207">
        <v>3300</v>
      </c>
      <c r="F28" s="207"/>
      <c r="G28" s="207"/>
      <c r="H28" s="207">
        <v>10600</v>
      </c>
    </row>
    <row r="29" spans="1:8" x14ac:dyDescent="0.25">
      <c r="A29" s="206" t="s">
        <v>2536</v>
      </c>
      <c r="B29" s="207">
        <v>7500</v>
      </c>
      <c r="C29" s="207"/>
      <c r="D29" s="207"/>
      <c r="E29" s="207"/>
      <c r="F29" s="207">
        <v>3800</v>
      </c>
      <c r="G29" s="207">
        <v>6700</v>
      </c>
      <c r="H29" s="207">
        <v>18000</v>
      </c>
    </row>
    <row r="30" spans="1:8" x14ac:dyDescent="0.25">
      <c r="A30" s="206" t="s">
        <v>2533</v>
      </c>
      <c r="B30" s="207">
        <v>21600</v>
      </c>
      <c r="C30" s="207">
        <v>36700</v>
      </c>
      <c r="D30" s="207"/>
      <c r="E30" s="207"/>
      <c r="F30" s="207"/>
      <c r="G30" s="207">
        <v>1300</v>
      </c>
      <c r="H30" s="207">
        <v>59600</v>
      </c>
    </row>
    <row r="31" spans="1:8" x14ac:dyDescent="0.25">
      <c r="A31" s="206" t="s">
        <v>2547</v>
      </c>
      <c r="B31" s="207">
        <v>27000</v>
      </c>
      <c r="C31" s="207"/>
      <c r="D31" s="207"/>
      <c r="E31" s="207"/>
      <c r="F31" s="207"/>
      <c r="G31" s="207">
        <v>28900</v>
      </c>
      <c r="H31" s="207">
        <v>55900</v>
      </c>
    </row>
    <row r="32" spans="1:8" x14ac:dyDescent="0.25">
      <c r="A32" s="206" t="s">
        <v>2534</v>
      </c>
      <c r="B32" s="207">
        <v>45000</v>
      </c>
      <c r="C32" s="207"/>
      <c r="D32" s="207"/>
      <c r="E32" s="207">
        <v>29800</v>
      </c>
      <c r="F32" s="207"/>
      <c r="G32" s="207"/>
      <c r="H32" s="207">
        <v>74800</v>
      </c>
    </row>
    <row r="33" spans="1:8" x14ac:dyDescent="0.25">
      <c r="A33" s="206" t="s">
        <v>2553</v>
      </c>
      <c r="B33" s="207">
        <v>121400</v>
      </c>
      <c r="C33" s="207">
        <v>122600</v>
      </c>
      <c r="D33" s="207">
        <v>111100</v>
      </c>
      <c r="E33" s="207">
        <v>203900</v>
      </c>
      <c r="F33" s="207">
        <v>116300</v>
      </c>
      <c r="G33" s="207">
        <v>123000</v>
      </c>
      <c r="H33" s="207">
        <v>798300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E375B-E10F-4DEB-90AD-91B22DD64A7F}">
  <sheetPr codeName="Sheet21"/>
  <dimension ref="A1:I76"/>
  <sheetViews>
    <sheetView workbookViewId="0">
      <selection activeCell="G12" sqref="G12"/>
    </sheetView>
  </sheetViews>
  <sheetFormatPr defaultRowHeight="15" x14ac:dyDescent="0.25"/>
  <cols>
    <col min="1" max="1" width="12.7109375" customWidth="1"/>
    <col min="2" max="2" width="14" customWidth="1"/>
    <col min="3" max="6" width="12.7109375" customWidth="1"/>
    <col min="8" max="8" width="14" customWidth="1"/>
    <col min="9" max="9" width="17.42578125" customWidth="1"/>
  </cols>
  <sheetData>
    <row r="1" spans="1:9" ht="15.75" thickBot="1" x14ac:dyDescent="0.3">
      <c r="A1" s="198" t="s">
        <v>2516</v>
      </c>
      <c r="B1" s="199" t="s">
        <v>2498</v>
      </c>
      <c r="C1" s="199" t="s">
        <v>2517</v>
      </c>
      <c r="D1" s="199" t="s">
        <v>2518</v>
      </c>
      <c r="E1" s="199" t="s">
        <v>1823</v>
      </c>
      <c r="F1" s="200" t="s">
        <v>2519</v>
      </c>
      <c r="H1" s="192" t="s">
        <v>2498</v>
      </c>
      <c r="I1" s="193" t="s">
        <v>1</v>
      </c>
    </row>
    <row r="2" spans="1:9" ht="15.75" thickBot="1" x14ac:dyDescent="0.3">
      <c r="A2" s="196">
        <v>2017</v>
      </c>
      <c r="B2" s="188">
        <v>110234</v>
      </c>
      <c r="C2" s="188" t="s">
        <v>2520</v>
      </c>
      <c r="D2" s="188" t="s">
        <v>2521</v>
      </c>
      <c r="E2" s="189">
        <v>20000</v>
      </c>
      <c r="F2" s="197">
        <v>0.75</v>
      </c>
      <c r="H2" s="190">
        <v>110234</v>
      </c>
      <c r="I2" s="191" t="s">
        <v>2510</v>
      </c>
    </row>
    <row r="3" spans="1:9" ht="30.75" thickBot="1" x14ac:dyDescent="0.3">
      <c r="A3" s="196">
        <v>2015</v>
      </c>
      <c r="B3" s="188">
        <v>110235</v>
      </c>
      <c r="C3" s="188" t="s">
        <v>2522</v>
      </c>
      <c r="D3" s="188" t="s">
        <v>2523</v>
      </c>
      <c r="E3" s="189">
        <v>3700</v>
      </c>
      <c r="F3" s="197">
        <v>0.22</v>
      </c>
      <c r="H3" s="190">
        <v>110235</v>
      </c>
      <c r="I3" s="191" t="s">
        <v>2549</v>
      </c>
    </row>
    <row r="4" spans="1:9" ht="15.75" thickBot="1" x14ac:dyDescent="0.3">
      <c r="A4" s="196">
        <v>2017</v>
      </c>
      <c r="B4" s="188">
        <v>110236</v>
      </c>
      <c r="C4" s="188" t="s">
        <v>2522</v>
      </c>
      <c r="D4" s="188" t="s">
        <v>2524</v>
      </c>
      <c r="E4" s="189">
        <v>4000</v>
      </c>
      <c r="F4" s="197">
        <v>0.22</v>
      </c>
      <c r="H4" s="190">
        <v>110236</v>
      </c>
      <c r="I4" s="191" t="s">
        <v>2550</v>
      </c>
    </row>
    <row r="5" spans="1:9" ht="15.75" thickBot="1" x14ac:dyDescent="0.3">
      <c r="A5" s="196">
        <v>2015</v>
      </c>
      <c r="B5" s="188">
        <v>110237</v>
      </c>
      <c r="C5" s="188" t="s">
        <v>2522</v>
      </c>
      <c r="D5" s="188" t="s">
        <v>2525</v>
      </c>
      <c r="E5" s="189">
        <v>13300</v>
      </c>
      <c r="F5" s="197">
        <v>0.56000000000000005</v>
      </c>
      <c r="H5" s="190">
        <v>110237</v>
      </c>
      <c r="I5" s="191" t="s">
        <v>2551</v>
      </c>
    </row>
    <row r="6" spans="1:9" ht="15.75" thickBot="1" x14ac:dyDescent="0.3">
      <c r="A6" s="196">
        <v>2017</v>
      </c>
      <c r="B6" s="188">
        <v>110238</v>
      </c>
      <c r="C6" s="188" t="s">
        <v>2522</v>
      </c>
      <c r="D6" s="188" t="s">
        <v>2526</v>
      </c>
      <c r="E6" s="189">
        <v>36000</v>
      </c>
      <c r="F6" s="197">
        <v>1</v>
      </c>
      <c r="H6" s="190">
        <v>110238</v>
      </c>
      <c r="I6" s="191" t="s">
        <v>12</v>
      </c>
    </row>
    <row r="7" spans="1:9" ht="15.75" thickBot="1" x14ac:dyDescent="0.3">
      <c r="A7" s="196">
        <v>2015</v>
      </c>
      <c r="B7" s="188">
        <v>110239</v>
      </c>
      <c r="C7" s="188" t="s">
        <v>2520</v>
      </c>
      <c r="D7" s="188" t="s">
        <v>2527</v>
      </c>
      <c r="E7" s="189">
        <v>2300</v>
      </c>
      <c r="F7" s="197">
        <v>0.35</v>
      </c>
      <c r="H7" s="194">
        <v>110239</v>
      </c>
      <c r="I7" s="195" t="s">
        <v>2552</v>
      </c>
    </row>
    <row r="8" spans="1:9" ht="15.75" thickBot="1" x14ac:dyDescent="0.3">
      <c r="A8" s="196">
        <v>2016</v>
      </c>
      <c r="B8" s="188">
        <v>110234</v>
      </c>
      <c r="C8" s="188" t="s">
        <v>2522</v>
      </c>
      <c r="D8" s="188" t="s">
        <v>2523</v>
      </c>
      <c r="E8" s="189">
        <v>2300</v>
      </c>
      <c r="F8" s="197">
        <v>0.28000000000000003</v>
      </c>
    </row>
    <row r="9" spans="1:9" ht="15.75" thickBot="1" x14ac:dyDescent="0.3">
      <c r="A9" s="196">
        <v>2016</v>
      </c>
      <c r="B9" s="188">
        <v>110235</v>
      </c>
      <c r="C9" s="188" t="s">
        <v>2520</v>
      </c>
      <c r="D9" s="188" t="s">
        <v>2528</v>
      </c>
      <c r="E9" s="189">
        <v>3400</v>
      </c>
      <c r="F9" s="197">
        <v>0.36</v>
      </c>
    </row>
    <row r="10" spans="1:9" ht="30.75" thickBot="1" x14ac:dyDescent="0.3">
      <c r="A10" s="196">
        <v>2016</v>
      </c>
      <c r="B10" s="188">
        <v>110236</v>
      </c>
      <c r="C10" s="188" t="s">
        <v>2529</v>
      </c>
      <c r="D10" s="188" t="s">
        <v>2530</v>
      </c>
      <c r="E10" s="189">
        <v>6300</v>
      </c>
      <c r="F10" s="197">
        <v>0.4</v>
      </c>
    </row>
    <row r="11" spans="1:9" ht="15.75" thickBot="1" x14ac:dyDescent="0.3">
      <c r="A11" s="196">
        <v>2017</v>
      </c>
      <c r="B11" s="188">
        <v>110237</v>
      </c>
      <c r="C11" s="188" t="s">
        <v>2520</v>
      </c>
      <c r="D11" s="188" t="s">
        <v>2528</v>
      </c>
      <c r="E11" s="189">
        <v>5400</v>
      </c>
      <c r="F11" s="197">
        <v>0.38</v>
      </c>
    </row>
    <row r="12" spans="1:9" ht="15.75" thickBot="1" x14ac:dyDescent="0.3">
      <c r="A12" s="196">
        <v>2016</v>
      </c>
      <c r="B12" s="188">
        <v>110238</v>
      </c>
      <c r="C12" s="188" t="s">
        <v>2531</v>
      </c>
      <c r="D12" s="188" t="s">
        <v>2532</v>
      </c>
      <c r="E12" s="189">
        <v>17000</v>
      </c>
      <c r="F12" s="197">
        <v>0.9</v>
      </c>
    </row>
    <row r="13" spans="1:9" ht="15.75" thickBot="1" x14ac:dyDescent="0.3">
      <c r="A13" s="196">
        <v>2016</v>
      </c>
      <c r="B13" s="188">
        <v>110239</v>
      </c>
      <c r="C13" s="188" t="s">
        <v>2531</v>
      </c>
      <c r="D13" s="188" t="s">
        <v>2533</v>
      </c>
      <c r="E13" s="189">
        <v>21600</v>
      </c>
      <c r="F13" s="197">
        <v>0.9</v>
      </c>
    </row>
    <row r="14" spans="1:9" ht="15.75" thickBot="1" x14ac:dyDescent="0.3">
      <c r="A14" s="196">
        <v>2016</v>
      </c>
      <c r="B14" s="188">
        <v>110234</v>
      </c>
      <c r="C14" s="188" t="s">
        <v>2531</v>
      </c>
      <c r="D14" s="188" t="s">
        <v>2534</v>
      </c>
      <c r="E14" s="189">
        <v>29800</v>
      </c>
      <c r="F14" s="197">
        <v>0.9</v>
      </c>
    </row>
    <row r="15" spans="1:9" ht="30.75" thickBot="1" x14ac:dyDescent="0.3">
      <c r="A15" s="196">
        <v>2016</v>
      </c>
      <c r="B15" s="188">
        <v>110235</v>
      </c>
      <c r="C15" s="188" t="s">
        <v>2520</v>
      </c>
      <c r="D15" s="188" t="s">
        <v>2535</v>
      </c>
      <c r="E15" s="189">
        <v>1000</v>
      </c>
      <c r="F15" s="197">
        <v>0.23</v>
      </c>
    </row>
    <row r="16" spans="1:9" ht="15.75" thickBot="1" x14ac:dyDescent="0.3">
      <c r="A16" s="196">
        <v>2015</v>
      </c>
      <c r="B16" s="188">
        <v>110236</v>
      </c>
      <c r="C16" s="188" t="s">
        <v>2522</v>
      </c>
      <c r="D16" s="188" t="s">
        <v>2536</v>
      </c>
      <c r="E16" s="189">
        <v>6700</v>
      </c>
      <c r="F16" s="197">
        <v>0.05</v>
      </c>
    </row>
    <row r="17" spans="1:6" ht="30.75" thickBot="1" x14ac:dyDescent="0.3">
      <c r="A17" s="196">
        <v>2017</v>
      </c>
      <c r="B17" s="188">
        <v>110237</v>
      </c>
      <c r="C17" s="188" t="s">
        <v>2520</v>
      </c>
      <c r="D17" s="188" t="s">
        <v>2535</v>
      </c>
      <c r="E17" s="189">
        <v>600</v>
      </c>
      <c r="F17" s="197">
        <v>0.27</v>
      </c>
    </row>
    <row r="18" spans="1:6" ht="15.75" thickBot="1" x14ac:dyDescent="0.3">
      <c r="A18" s="196">
        <v>2015</v>
      </c>
      <c r="B18" s="188">
        <v>110238</v>
      </c>
      <c r="C18" s="188" t="s">
        <v>2529</v>
      </c>
      <c r="D18" s="188" t="s">
        <v>2537</v>
      </c>
      <c r="E18" s="189">
        <v>3500</v>
      </c>
      <c r="F18" s="197">
        <v>0.5</v>
      </c>
    </row>
    <row r="19" spans="1:6" ht="15.75" thickBot="1" x14ac:dyDescent="0.3">
      <c r="A19" s="196">
        <v>2017</v>
      </c>
      <c r="B19" s="188">
        <v>110239</v>
      </c>
      <c r="C19" s="188" t="s">
        <v>2522</v>
      </c>
      <c r="D19" s="188" t="s">
        <v>2536</v>
      </c>
      <c r="E19" s="189">
        <v>7500</v>
      </c>
      <c r="F19" s="197">
        <v>0.4</v>
      </c>
    </row>
    <row r="20" spans="1:6" ht="30.75" thickBot="1" x14ac:dyDescent="0.3">
      <c r="A20" s="196">
        <v>2017</v>
      </c>
      <c r="B20" s="188">
        <v>110234</v>
      </c>
      <c r="C20" s="188" t="s">
        <v>2531</v>
      </c>
      <c r="D20" s="188" t="s">
        <v>2538</v>
      </c>
      <c r="E20" s="189">
        <v>63700</v>
      </c>
      <c r="F20" s="197">
        <v>0.9</v>
      </c>
    </row>
    <row r="21" spans="1:6" ht="15.75" thickBot="1" x14ac:dyDescent="0.3">
      <c r="A21" s="196">
        <v>2017</v>
      </c>
      <c r="B21" s="188">
        <v>110235</v>
      </c>
      <c r="C21" s="188" t="s">
        <v>2529</v>
      </c>
      <c r="D21" s="188" t="s">
        <v>2539</v>
      </c>
      <c r="E21" s="189">
        <v>9300</v>
      </c>
      <c r="F21" s="197">
        <v>0.6</v>
      </c>
    </row>
    <row r="22" spans="1:6" ht="30.75" thickBot="1" x14ac:dyDescent="0.3">
      <c r="A22" s="196">
        <v>2017</v>
      </c>
      <c r="B22" s="188">
        <v>110236</v>
      </c>
      <c r="C22" s="188" t="s">
        <v>2529</v>
      </c>
      <c r="D22" s="188" t="s">
        <v>2530</v>
      </c>
      <c r="E22" s="189">
        <v>8500</v>
      </c>
      <c r="F22" s="197">
        <v>0.46</v>
      </c>
    </row>
    <row r="23" spans="1:6" ht="15.75" thickBot="1" x14ac:dyDescent="0.3">
      <c r="A23" s="196">
        <v>2017</v>
      </c>
      <c r="B23" s="188">
        <v>110237</v>
      </c>
      <c r="C23" s="188" t="s">
        <v>2531</v>
      </c>
      <c r="D23" s="188" t="s">
        <v>2540</v>
      </c>
      <c r="E23" s="189">
        <v>33700</v>
      </c>
      <c r="F23" s="197">
        <v>0.92</v>
      </c>
    </row>
    <row r="24" spans="1:6" ht="15.75" thickBot="1" x14ac:dyDescent="0.3">
      <c r="A24" s="196">
        <v>2017</v>
      </c>
      <c r="B24" s="188">
        <v>110238</v>
      </c>
      <c r="C24" s="188" t="s">
        <v>2522</v>
      </c>
      <c r="D24" s="188" t="s">
        <v>2541</v>
      </c>
      <c r="E24" s="189">
        <v>600</v>
      </c>
      <c r="F24" s="197">
        <v>0.15</v>
      </c>
    </row>
    <row r="25" spans="1:6" ht="30.75" thickBot="1" x14ac:dyDescent="0.3">
      <c r="A25" s="196">
        <v>2015</v>
      </c>
      <c r="B25" s="188">
        <v>110239</v>
      </c>
      <c r="C25" s="188" t="s">
        <v>2529</v>
      </c>
      <c r="D25" s="188" t="s">
        <v>2530</v>
      </c>
      <c r="E25" s="189">
        <v>3100</v>
      </c>
      <c r="F25" s="197">
        <v>0.35</v>
      </c>
    </row>
    <row r="26" spans="1:6" ht="15.75" thickBot="1" x14ac:dyDescent="0.3">
      <c r="A26" s="196">
        <v>2017</v>
      </c>
      <c r="B26" s="188">
        <v>110234</v>
      </c>
      <c r="C26" s="188" t="s">
        <v>2531</v>
      </c>
      <c r="D26" s="188" t="s">
        <v>2542</v>
      </c>
      <c r="E26" s="189">
        <v>30700</v>
      </c>
      <c r="F26" s="197">
        <v>0.95</v>
      </c>
    </row>
    <row r="27" spans="1:6" ht="15.75" thickBot="1" x14ac:dyDescent="0.3">
      <c r="A27" s="196">
        <v>2016</v>
      </c>
      <c r="B27" s="188">
        <v>110235</v>
      </c>
      <c r="C27" s="188" t="s">
        <v>2531</v>
      </c>
      <c r="D27" s="188" t="s">
        <v>2542</v>
      </c>
      <c r="E27" s="189">
        <v>16400</v>
      </c>
      <c r="F27" s="197">
        <v>0.8</v>
      </c>
    </row>
    <row r="28" spans="1:6" ht="15.75" thickBot="1" x14ac:dyDescent="0.3">
      <c r="A28" s="196">
        <v>2016</v>
      </c>
      <c r="B28" s="188">
        <v>110236</v>
      </c>
      <c r="C28" s="188" t="s">
        <v>2531</v>
      </c>
      <c r="D28" s="188" t="s">
        <v>2540</v>
      </c>
      <c r="E28" s="189">
        <v>22100</v>
      </c>
      <c r="F28" s="197">
        <v>0.9</v>
      </c>
    </row>
    <row r="29" spans="1:6" ht="15.75" thickBot="1" x14ac:dyDescent="0.3">
      <c r="A29" s="196">
        <v>2017</v>
      </c>
      <c r="B29" s="188">
        <v>110237</v>
      </c>
      <c r="C29" s="188" t="s">
        <v>2531</v>
      </c>
      <c r="D29" s="188" t="s">
        <v>2532</v>
      </c>
      <c r="E29" s="189">
        <v>34000</v>
      </c>
      <c r="F29" s="197">
        <v>0.95</v>
      </c>
    </row>
    <row r="30" spans="1:6" ht="15.75" thickBot="1" x14ac:dyDescent="0.3">
      <c r="A30" s="196">
        <v>2015</v>
      </c>
      <c r="B30" s="188">
        <v>110238</v>
      </c>
      <c r="C30" s="188" t="s">
        <v>2531</v>
      </c>
      <c r="D30" s="188" t="s">
        <v>2542</v>
      </c>
      <c r="E30" s="189">
        <v>700</v>
      </c>
      <c r="F30" s="197">
        <v>0.1</v>
      </c>
    </row>
    <row r="31" spans="1:6" ht="15.75" thickBot="1" x14ac:dyDescent="0.3">
      <c r="A31" s="196">
        <v>2015</v>
      </c>
      <c r="B31" s="188">
        <v>110239</v>
      </c>
      <c r="C31" s="188" t="s">
        <v>2522</v>
      </c>
      <c r="D31" s="188" t="s">
        <v>2526</v>
      </c>
      <c r="E31" s="189">
        <v>3300</v>
      </c>
      <c r="F31" s="197">
        <v>0.3</v>
      </c>
    </row>
    <row r="32" spans="1:6" ht="15.75" thickBot="1" x14ac:dyDescent="0.3">
      <c r="A32" s="196">
        <v>2017</v>
      </c>
      <c r="B32" s="188">
        <v>110234</v>
      </c>
      <c r="C32" s="188" t="s">
        <v>2529</v>
      </c>
      <c r="D32" s="188" t="s">
        <v>2537</v>
      </c>
      <c r="E32" s="189">
        <v>16900</v>
      </c>
      <c r="F32" s="197">
        <v>0.65</v>
      </c>
    </row>
    <row r="33" spans="1:6" ht="15.75" thickBot="1" x14ac:dyDescent="0.3">
      <c r="A33" s="196">
        <v>2017</v>
      </c>
      <c r="B33" s="188">
        <v>110235</v>
      </c>
      <c r="C33" s="188" t="s">
        <v>2531</v>
      </c>
      <c r="D33" s="188" t="s">
        <v>2533</v>
      </c>
      <c r="E33" s="189">
        <v>36700</v>
      </c>
      <c r="F33" s="197">
        <v>0.9</v>
      </c>
    </row>
    <row r="34" spans="1:6" ht="15.75" thickBot="1" x14ac:dyDescent="0.3">
      <c r="A34" s="196">
        <v>2015</v>
      </c>
      <c r="B34" s="188">
        <v>110236</v>
      </c>
      <c r="C34" s="188" t="s">
        <v>2531</v>
      </c>
      <c r="D34" s="188" t="s">
        <v>2532</v>
      </c>
      <c r="E34" s="189">
        <v>8300</v>
      </c>
      <c r="F34" s="197">
        <v>0.99</v>
      </c>
    </row>
    <row r="35" spans="1:6" ht="15.75" thickBot="1" x14ac:dyDescent="0.3">
      <c r="A35" s="196">
        <v>2016</v>
      </c>
      <c r="B35" s="188">
        <v>110237</v>
      </c>
      <c r="C35" s="188" t="s">
        <v>2522</v>
      </c>
      <c r="D35" s="188" t="s">
        <v>2524</v>
      </c>
      <c r="E35" s="189">
        <v>2900</v>
      </c>
      <c r="F35" s="197">
        <v>0.36</v>
      </c>
    </row>
    <row r="36" spans="1:6" ht="30.75" thickBot="1" x14ac:dyDescent="0.3">
      <c r="A36" s="196">
        <v>2015</v>
      </c>
      <c r="B36" s="188">
        <v>110238</v>
      </c>
      <c r="C36" s="188" t="s">
        <v>2531</v>
      </c>
      <c r="D36" s="188" t="s">
        <v>2538</v>
      </c>
      <c r="E36" s="189">
        <v>8700</v>
      </c>
      <c r="F36" s="197">
        <v>0.9</v>
      </c>
    </row>
    <row r="37" spans="1:6" ht="15.75" thickBot="1" x14ac:dyDescent="0.3">
      <c r="A37" s="196">
        <v>2017</v>
      </c>
      <c r="B37" s="188">
        <v>110239</v>
      </c>
      <c r="C37" s="188" t="s">
        <v>2531</v>
      </c>
      <c r="D37" s="188" t="s">
        <v>2534</v>
      </c>
      <c r="E37" s="189">
        <v>35000</v>
      </c>
      <c r="F37" s="197">
        <v>1</v>
      </c>
    </row>
    <row r="38" spans="1:6" ht="15.75" thickBot="1" x14ac:dyDescent="0.3">
      <c r="A38" s="196">
        <v>2016</v>
      </c>
      <c r="B38" s="188">
        <v>110234</v>
      </c>
      <c r="C38" s="188" t="s">
        <v>2529</v>
      </c>
      <c r="D38" s="188" t="s">
        <v>2537</v>
      </c>
      <c r="E38" s="189">
        <v>8300</v>
      </c>
      <c r="F38" s="197">
        <v>0.46</v>
      </c>
    </row>
    <row r="39" spans="1:6" ht="15.75" thickBot="1" x14ac:dyDescent="0.3">
      <c r="A39" s="196">
        <v>2016</v>
      </c>
      <c r="B39" s="188">
        <v>110235</v>
      </c>
      <c r="C39" s="188" t="s">
        <v>2520</v>
      </c>
      <c r="D39" s="188" t="s">
        <v>2543</v>
      </c>
      <c r="E39" s="189">
        <v>16700</v>
      </c>
      <c r="F39" s="197">
        <v>0.75</v>
      </c>
    </row>
    <row r="40" spans="1:6" ht="30.75" thickBot="1" x14ac:dyDescent="0.3">
      <c r="A40" s="196">
        <v>2016</v>
      </c>
      <c r="B40" s="188">
        <v>110236</v>
      </c>
      <c r="C40" s="188" t="s">
        <v>2529</v>
      </c>
      <c r="D40" s="188" t="s">
        <v>2544</v>
      </c>
      <c r="E40" s="189">
        <v>1800</v>
      </c>
      <c r="F40" s="197">
        <v>0.15</v>
      </c>
    </row>
    <row r="41" spans="1:6" ht="15.75" thickBot="1" x14ac:dyDescent="0.3">
      <c r="A41" s="196">
        <v>2017</v>
      </c>
      <c r="B41" s="188">
        <v>110237</v>
      </c>
      <c r="C41" s="188" t="s">
        <v>2522</v>
      </c>
      <c r="D41" s="188" t="s">
        <v>2523</v>
      </c>
      <c r="E41" s="189">
        <v>3700</v>
      </c>
      <c r="F41" s="197">
        <v>0.48</v>
      </c>
    </row>
    <row r="42" spans="1:6" ht="15.75" thickBot="1" x14ac:dyDescent="0.3">
      <c r="A42" s="196">
        <v>2016</v>
      </c>
      <c r="B42" s="188">
        <v>110238</v>
      </c>
      <c r="C42" s="188" t="s">
        <v>2522</v>
      </c>
      <c r="D42" s="188" t="s">
        <v>2525</v>
      </c>
      <c r="E42" s="189">
        <v>12000</v>
      </c>
      <c r="F42" s="197">
        <v>0.66</v>
      </c>
    </row>
    <row r="43" spans="1:6" ht="15.75" thickBot="1" x14ac:dyDescent="0.3">
      <c r="A43" s="196">
        <v>2015</v>
      </c>
      <c r="B43" s="188">
        <v>110239</v>
      </c>
      <c r="C43" s="188" t="s">
        <v>2531</v>
      </c>
      <c r="D43" s="188" t="s">
        <v>2534</v>
      </c>
      <c r="E43" s="189">
        <v>10000</v>
      </c>
      <c r="F43" s="197">
        <v>0.85</v>
      </c>
    </row>
    <row r="44" spans="1:6" ht="30.75" thickBot="1" x14ac:dyDescent="0.3">
      <c r="A44" s="196">
        <v>2015</v>
      </c>
      <c r="B44" s="188">
        <v>110234</v>
      </c>
      <c r="C44" s="188" t="s">
        <v>2520</v>
      </c>
      <c r="D44" s="188" t="s">
        <v>2535</v>
      </c>
      <c r="E44" s="189">
        <v>500</v>
      </c>
      <c r="F44" s="197">
        <v>0.35</v>
      </c>
    </row>
    <row r="45" spans="1:6" ht="15.75" thickBot="1" x14ac:dyDescent="0.3">
      <c r="A45" s="196">
        <v>2017</v>
      </c>
      <c r="B45" s="188">
        <v>110235</v>
      </c>
      <c r="C45" s="188" t="s">
        <v>2520</v>
      </c>
      <c r="D45" s="188" t="s">
        <v>2543</v>
      </c>
      <c r="E45" s="189">
        <v>21800</v>
      </c>
      <c r="F45" s="197">
        <v>0.96</v>
      </c>
    </row>
    <row r="46" spans="1:6" ht="15.75" thickBot="1" x14ac:dyDescent="0.3">
      <c r="A46" s="196">
        <v>2016</v>
      </c>
      <c r="B46" s="188">
        <v>110236</v>
      </c>
      <c r="C46" s="188" t="s">
        <v>2520</v>
      </c>
      <c r="D46" s="188" t="s">
        <v>2521</v>
      </c>
      <c r="E46" s="189">
        <v>16400</v>
      </c>
      <c r="F46" s="197">
        <v>0.7</v>
      </c>
    </row>
    <row r="47" spans="1:6" ht="15.75" thickBot="1" x14ac:dyDescent="0.3">
      <c r="A47" s="196">
        <v>2016</v>
      </c>
      <c r="B47" s="188">
        <v>110237</v>
      </c>
      <c r="C47" s="188" t="s">
        <v>2522</v>
      </c>
      <c r="D47" s="188" t="s">
        <v>2541</v>
      </c>
      <c r="E47" s="189">
        <v>400</v>
      </c>
      <c r="F47" s="197">
        <v>0.2</v>
      </c>
    </row>
    <row r="48" spans="1:6" ht="15.75" thickBot="1" x14ac:dyDescent="0.3">
      <c r="A48" s="196">
        <v>2015</v>
      </c>
      <c r="B48" s="188">
        <v>110238</v>
      </c>
      <c r="C48" s="188" t="s">
        <v>2522</v>
      </c>
      <c r="D48" s="188" t="s">
        <v>2545</v>
      </c>
      <c r="E48" s="189">
        <v>3300</v>
      </c>
      <c r="F48" s="197">
        <v>0.36</v>
      </c>
    </row>
    <row r="49" spans="1:6" ht="15.75" thickBot="1" x14ac:dyDescent="0.3">
      <c r="A49" s="196">
        <v>2017</v>
      </c>
      <c r="B49" s="188">
        <v>110239</v>
      </c>
      <c r="C49" s="188" t="s">
        <v>2520</v>
      </c>
      <c r="D49" s="188" t="s">
        <v>2527</v>
      </c>
      <c r="E49" s="189">
        <v>5000</v>
      </c>
      <c r="F49" s="197">
        <v>0.35</v>
      </c>
    </row>
    <row r="50" spans="1:6" ht="15.75" thickBot="1" x14ac:dyDescent="0.3">
      <c r="A50" s="196">
        <v>2016</v>
      </c>
      <c r="B50" s="188">
        <v>110234</v>
      </c>
      <c r="C50" s="188" t="s">
        <v>2520</v>
      </c>
      <c r="D50" s="188" t="s">
        <v>2527</v>
      </c>
      <c r="E50" s="189">
        <v>3300</v>
      </c>
      <c r="F50" s="197">
        <v>0.38</v>
      </c>
    </row>
    <row r="51" spans="1:6" ht="15.75" thickBot="1" x14ac:dyDescent="0.3">
      <c r="A51" s="196">
        <v>2015</v>
      </c>
      <c r="B51" s="188">
        <v>110235</v>
      </c>
      <c r="C51" s="188" t="s">
        <v>2520</v>
      </c>
      <c r="D51" s="188" t="s">
        <v>2546</v>
      </c>
      <c r="E51" s="189">
        <v>800</v>
      </c>
      <c r="F51" s="197">
        <v>0.36</v>
      </c>
    </row>
    <row r="52" spans="1:6" ht="15.75" thickBot="1" x14ac:dyDescent="0.3">
      <c r="A52" s="196">
        <v>2016</v>
      </c>
      <c r="B52" s="188">
        <v>110236</v>
      </c>
      <c r="C52" s="188" t="s">
        <v>2522</v>
      </c>
      <c r="D52" s="188" t="s">
        <v>2547</v>
      </c>
      <c r="E52" s="189">
        <v>15600</v>
      </c>
      <c r="F52" s="197">
        <v>0.65</v>
      </c>
    </row>
    <row r="53" spans="1:6" ht="15.75" thickBot="1" x14ac:dyDescent="0.3">
      <c r="A53" s="196">
        <v>2016</v>
      </c>
      <c r="B53" s="188">
        <v>110237</v>
      </c>
      <c r="C53" s="188" t="s">
        <v>2520</v>
      </c>
      <c r="D53" s="188" t="s">
        <v>2546</v>
      </c>
      <c r="E53" s="189">
        <v>1500</v>
      </c>
      <c r="F53" s="197">
        <v>0.17</v>
      </c>
    </row>
    <row r="54" spans="1:6" ht="15.75" thickBot="1" x14ac:dyDescent="0.3">
      <c r="A54" s="196">
        <v>2017</v>
      </c>
      <c r="B54" s="188">
        <v>110238</v>
      </c>
      <c r="C54" s="188" t="s">
        <v>2520</v>
      </c>
      <c r="D54" s="188" t="s">
        <v>2546</v>
      </c>
      <c r="E54" s="189">
        <v>6200</v>
      </c>
      <c r="F54" s="197">
        <v>0.38</v>
      </c>
    </row>
    <row r="55" spans="1:6" ht="15.75" thickBot="1" x14ac:dyDescent="0.3">
      <c r="A55" s="196">
        <v>2017</v>
      </c>
      <c r="B55" s="188">
        <v>110239</v>
      </c>
      <c r="C55" s="188" t="s">
        <v>2522</v>
      </c>
      <c r="D55" s="188" t="s">
        <v>2547</v>
      </c>
      <c r="E55" s="189">
        <v>27000</v>
      </c>
      <c r="F55" s="197">
        <v>0.88</v>
      </c>
    </row>
    <row r="56" spans="1:6" ht="15.75" thickBot="1" x14ac:dyDescent="0.3">
      <c r="A56" s="196">
        <v>2016</v>
      </c>
      <c r="B56" s="188">
        <v>110234</v>
      </c>
      <c r="C56" s="188" t="s">
        <v>2520</v>
      </c>
      <c r="D56" s="188" t="s">
        <v>2548</v>
      </c>
      <c r="E56" s="189">
        <v>2800</v>
      </c>
      <c r="F56" s="197">
        <v>0.38</v>
      </c>
    </row>
    <row r="57" spans="1:6" ht="15.75" thickBot="1" x14ac:dyDescent="0.3">
      <c r="A57" s="196">
        <v>2016</v>
      </c>
      <c r="B57" s="188">
        <v>110235</v>
      </c>
      <c r="C57" s="188" t="s">
        <v>2529</v>
      </c>
      <c r="D57" s="188" t="s">
        <v>2539</v>
      </c>
      <c r="E57" s="189">
        <v>6700</v>
      </c>
      <c r="F57" s="197">
        <v>0.46</v>
      </c>
    </row>
    <row r="58" spans="1:6" ht="15.75" thickBot="1" x14ac:dyDescent="0.3">
      <c r="A58" s="196">
        <v>2015</v>
      </c>
      <c r="B58" s="188">
        <v>110236</v>
      </c>
      <c r="C58" s="188" t="s">
        <v>2522</v>
      </c>
      <c r="D58" s="188" t="s">
        <v>2547</v>
      </c>
      <c r="E58" s="189">
        <v>13300</v>
      </c>
      <c r="F58" s="197">
        <v>0.5</v>
      </c>
    </row>
    <row r="59" spans="1:6" ht="30.75" thickBot="1" x14ac:dyDescent="0.3">
      <c r="A59" s="196">
        <v>2016</v>
      </c>
      <c r="B59" s="188">
        <v>110237</v>
      </c>
      <c r="C59" s="188" t="s">
        <v>2531</v>
      </c>
      <c r="D59" s="188" t="s">
        <v>2538</v>
      </c>
      <c r="E59" s="189">
        <v>13800</v>
      </c>
      <c r="F59" s="197">
        <v>0.85</v>
      </c>
    </row>
    <row r="60" spans="1:6" ht="15.75" thickBot="1" x14ac:dyDescent="0.3">
      <c r="A60" s="196">
        <v>2017</v>
      </c>
      <c r="B60" s="188">
        <v>110238</v>
      </c>
      <c r="C60" s="188" t="s">
        <v>2522</v>
      </c>
      <c r="D60" s="188" t="s">
        <v>2545</v>
      </c>
      <c r="E60" s="189">
        <v>2400</v>
      </c>
      <c r="F60" s="197">
        <v>0.35</v>
      </c>
    </row>
    <row r="61" spans="1:6" ht="15.75" thickBot="1" x14ac:dyDescent="0.3">
      <c r="A61" s="196">
        <v>2015</v>
      </c>
      <c r="B61" s="188">
        <v>110239</v>
      </c>
      <c r="C61" s="188" t="s">
        <v>2531</v>
      </c>
      <c r="D61" s="188" t="s">
        <v>2540</v>
      </c>
      <c r="E61" s="189">
        <v>300</v>
      </c>
      <c r="F61" s="197">
        <v>0.05</v>
      </c>
    </row>
    <row r="62" spans="1:6" ht="15.75" thickBot="1" x14ac:dyDescent="0.3">
      <c r="A62" s="196">
        <v>2015</v>
      </c>
      <c r="B62" s="188">
        <v>110234</v>
      </c>
      <c r="C62" s="188" t="s">
        <v>2520</v>
      </c>
      <c r="D62" s="188" t="s">
        <v>2548</v>
      </c>
      <c r="E62" s="189">
        <v>2100</v>
      </c>
      <c r="F62" s="197">
        <v>0.49</v>
      </c>
    </row>
    <row r="63" spans="1:6" ht="15.75" thickBot="1" x14ac:dyDescent="0.3">
      <c r="A63" s="196">
        <v>2015</v>
      </c>
      <c r="B63" s="188">
        <v>110235</v>
      </c>
      <c r="C63" s="188" t="s">
        <v>2520</v>
      </c>
      <c r="D63" s="188" t="s">
        <v>2528</v>
      </c>
      <c r="E63" s="189">
        <v>2300</v>
      </c>
      <c r="F63" s="197">
        <v>0.34</v>
      </c>
    </row>
    <row r="64" spans="1:6" ht="15.75" thickBot="1" x14ac:dyDescent="0.3">
      <c r="A64" s="196">
        <v>2015</v>
      </c>
      <c r="B64" s="188">
        <v>110236</v>
      </c>
      <c r="C64" s="188" t="s">
        <v>2520</v>
      </c>
      <c r="D64" s="188" t="s">
        <v>2543</v>
      </c>
      <c r="E64" s="189">
        <v>10000</v>
      </c>
      <c r="F64" s="197">
        <v>0.66</v>
      </c>
    </row>
    <row r="65" spans="1:6" ht="30.75" thickBot="1" x14ac:dyDescent="0.3">
      <c r="A65" s="196">
        <v>2015</v>
      </c>
      <c r="B65" s="188">
        <v>110237</v>
      </c>
      <c r="C65" s="188" t="s">
        <v>2529</v>
      </c>
      <c r="D65" s="188" t="s">
        <v>2544</v>
      </c>
      <c r="E65" s="189">
        <v>500</v>
      </c>
      <c r="F65" s="197">
        <v>0.22</v>
      </c>
    </row>
    <row r="66" spans="1:6" ht="15.75" thickBot="1" x14ac:dyDescent="0.3">
      <c r="A66" s="196">
        <v>2016</v>
      </c>
      <c r="B66" s="188">
        <v>110238</v>
      </c>
      <c r="C66" s="188" t="s">
        <v>2522</v>
      </c>
      <c r="D66" s="188" t="s">
        <v>2536</v>
      </c>
      <c r="E66" s="189">
        <v>3800</v>
      </c>
      <c r="F66" s="197">
        <v>0.48</v>
      </c>
    </row>
    <row r="67" spans="1:6" ht="15.75" thickBot="1" x14ac:dyDescent="0.3">
      <c r="A67" s="196">
        <v>2015</v>
      </c>
      <c r="B67" s="188">
        <v>110239</v>
      </c>
      <c r="C67" s="188" t="s">
        <v>2529</v>
      </c>
      <c r="D67" s="188" t="s">
        <v>2539</v>
      </c>
      <c r="E67" s="189">
        <v>3200</v>
      </c>
      <c r="F67" s="197">
        <v>0.48</v>
      </c>
    </row>
    <row r="68" spans="1:6" ht="15.75" thickBot="1" x14ac:dyDescent="0.3">
      <c r="A68" s="196">
        <v>2017</v>
      </c>
      <c r="B68" s="188">
        <v>110234</v>
      </c>
      <c r="C68" s="188" t="s">
        <v>2522</v>
      </c>
      <c r="D68" s="188" t="s">
        <v>2525</v>
      </c>
      <c r="E68" s="189">
        <v>23000</v>
      </c>
      <c r="F68" s="197">
        <v>1</v>
      </c>
    </row>
    <row r="69" spans="1:6" ht="15.75" thickBot="1" x14ac:dyDescent="0.3">
      <c r="A69" s="196">
        <v>2015</v>
      </c>
      <c r="B69" s="188">
        <v>110235</v>
      </c>
      <c r="C69" s="188" t="s">
        <v>2522</v>
      </c>
      <c r="D69" s="188" t="s">
        <v>2524</v>
      </c>
      <c r="E69" s="189">
        <v>700</v>
      </c>
      <c r="F69" s="197">
        <v>0.28000000000000003</v>
      </c>
    </row>
    <row r="70" spans="1:6" ht="15.75" thickBot="1" x14ac:dyDescent="0.3">
      <c r="A70" s="196">
        <v>2015</v>
      </c>
      <c r="B70" s="188">
        <v>110236</v>
      </c>
      <c r="C70" s="188" t="s">
        <v>2531</v>
      </c>
      <c r="D70" s="188" t="s">
        <v>2533</v>
      </c>
      <c r="E70" s="189">
        <v>1300</v>
      </c>
      <c r="F70" s="197">
        <v>0.9</v>
      </c>
    </row>
    <row r="71" spans="1:6" ht="15.75" thickBot="1" x14ac:dyDescent="0.3">
      <c r="A71" s="196">
        <v>2016</v>
      </c>
      <c r="B71" s="188">
        <v>110237</v>
      </c>
      <c r="C71" s="188" t="s">
        <v>2522</v>
      </c>
      <c r="D71" s="188" t="s">
        <v>2545</v>
      </c>
      <c r="E71" s="189">
        <v>1300</v>
      </c>
      <c r="F71" s="197">
        <v>0.25</v>
      </c>
    </row>
    <row r="72" spans="1:6" ht="15.75" thickBot="1" x14ac:dyDescent="0.3">
      <c r="A72" s="196">
        <v>2016</v>
      </c>
      <c r="B72" s="188">
        <v>110238</v>
      </c>
      <c r="C72" s="188" t="s">
        <v>2522</v>
      </c>
      <c r="D72" s="188" t="s">
        <v>2526</v>
      </c>
      <c r="E72" s="189">
        <v>22100</v>
      </c>
      <c r="F72" s="197">
        <v>0.99</v>
      </c>
    </row>
    <row r="73" spans="1:6" ht="15.75" thickBot="1" x14ac:dyDescent="0.3">
      <c r="A73" s="196">
        <v>2017</v>
      </c>
      <c r="B73" s="188">
        <v>110239</v>
      </c>
      <c r="C73" s="188" t="s">
        <v>2520</v>
      </c>
      <c r="D73" s="188" t="s">
        <v>2548</v>
      </c>
      <c r="E73" s="189">
        <v>3100</v>
      </c>
      <c r="F73" s="197">
        <v>0.42</v>
      </c>
    </row>
    <row r="74" spans="1:6" ht="15.75" thickBot="1" x14ac:dyDescent="0.3">
      <c r="A74" s="196">
        <v>2015</v>
      </c>
      <c r="B74" s="188">
        <v>110234</v>
      </c>
      <c r="C74" s="188" t="s">
        <v>2522</v>
      </c>
      <c r="D74" s="188" t="s">
        <v>2541</v>
      </c>
      <c r="E74" s="189">
        <v>500</v>
      </c>
      <c r="F74" s="197">
        <v>0.5</v>
      </c>
    </row>
    <row r="75" spans="1:6" ht="30.75" thickBot="1" x14ac:dyDescent="0.3">
      <c r="A75" s="196">
        <v>2017</v>
      </c>
      <c r="B75" s="188">
        <v>110235</v>
      </c>
      <c r="C75" s="188" t="s">
        <v>2529</v>
      </c>
      <c r="D75" s="188" t="s">
        <v>2544</v>
      </c>
      <c r="E75" s="189">
        <v>3100</v>
      </c>
      <c r="F75" s="197">
        <v>0.22</v>
      </c>
    </row>
    <row r="76" spans="1:6" x14ac:dyDescent="0.25">
      <c r="A76" s="201">
        <v>2015</v>
      </c>
      <c r="B76" s="202">
        <v>110236</v>
      </c>
      <c r="C76" s="202" t="s">
        <v>2520</v>
      </c>
      <c r="D76" s="202" t="s">
        <v>2521</v>
      </c>
      <c r="E76" s="203">
        <v>8700</v>
      </c>
      <c r="F76" s="204">
        <v>0.92</v>
      </c>
    </row>
  </sheetData>
  <pageMargins left="0.7" right="0.7" top="0.75" bottom="0.75" header="0.3" footer="0.3"/>
  <tableParts count="2">
    <tablePart r:id="rId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674F9-4DFA-4A10-B959-514C4F8319A7}">
  <sheetPr codeName="Sheet22"/>
  <dimension ref="C2:R51"/>
  <sheetViews>
    <sheetView showGridLines="0" topLeftCell="A21" workbookViewId="0">
      <selection activeCell="J33" sqref="J33"/>
    </sheetView>
  </sheetViews>
  <sheetFormatPr defaultRowHeight="15" x14ac:dyDescent="0.25"/>
  <cols>
    <col min="3" max="3" width="19.7109375" bestFit="1" customWidth="1"/>
    <col min="4" max="4" width="4" bestFit="1" customWidth="1"/>
    <col min="5" max="5" width="17.42578125" bestFit="1" customWidth="1"/>
    <col min="6" max="6" width="8" bestFit="1" customWidth="1"/>
    <col min="7" max="7" width="7.140625" bestFit="1" customWidth="1"/>
    <col min="8" max="8" width="7.28515625" bestFit="1" customWidth="1"/>
    <col min="9" max="9" width="4" bestFit="1" customWidth="1"/>
    <col min="10" max="10" width="9.28515625" bestFit="1" customWidth="1"/>
    <col min="11" max="11" width="12.42578125" bestFit="1" customWidth="1"/>
    <col min="12" max="12" width="11.85546875" bestFit="1" customWidth="1"/>
    <col min="13" max="13" width="4.140625" bestFit="1" customWidth="1"/>
    <col min="14" max="14" width="6" bestFit="1" customWidth="1"/>
    <col min="15" max="15" width="7.7109375" bestFit="1" customWidth="1"/>
    <col min="17" max="17" width="23.85546875" bestFit="1" customWidth="1"/>
  </cols>
  <sheetData>
    <row r="2" spans="5:10" ht="15.75" thickBot="1" x14ac:dyDescent="0.3"/>
    <row r="3" spans="5:10" ht="48.75" thickTop="1" thickBot="1" x14ac:dyDescent="0.3">
      <c r="E3" s="213" t="s">
        <v>2554</v>
      </c>
      <c r="F3" s="214"/>
      <c r="G3" s="214" t="s">
        <v>2555</v>
      </c>
      <c r="H3" s="214" t="s">
        <v>2556</v>
      </c>
      <c r="I3" s="214" t="s">
        <v>1799</v>
      </c>
      <c r="J3" s="215" t="s">
        <v>1824</v>
      </c>
    </row>
    <row r="4" spans="5:10" ht="105.75" thickBot="1" x14ac:dyDescent="0.3">
      <c r="E4" s="212" t="b">
        <v>1</v>
      </c>
      <c r="F4" s="216"/>
      <c r="G4" s="208" t="s">
        <v>2557</v>
      </c>
      <c r="H4" s="208" t="s">
        <v>2558</v>
      </c>
      <c r="I4" s="208" t="s">
        <v>2559</v>
      </c>
      <c r="J4" s="211">
        <v>200</v>
      </c>
    </row>
    <row r="5" spans="5:10" ht="90.75" thickBot="1" x14ac:dyDescent="0.3">
      <c r="E5" s="212" t="b">
        <v>1</v>
      </c>
      <c r="F5" s="216"/>
      <c r="G5" s="208" t="s">
        <v>2560</v>
      </c>
      <c r="H5" s="208" t="s">
        <v>2561</v>
      </c>
      <c r="I5" s="208" t="s">
        <v>2562</v>
      </c>
      <c r="J5" s="211">
        <v>250</v>
      </c>
    </row>
    <row r="6" spans="5:10" ht="90.75" thickBot="1" x14ac:dyDescent="0.3">
      <c r="E6" s="212" t="b">
        <v>0</v>
      </c>
      <c r="F6" s="216"/>
      <c r="G6" s="208" t="s">
        <v>2563</v>
      </c>
      <c r="H6" s="208" t="s">
        <v>2564</v>
      </c>
      <c r="I6" s="208" t="s">
        <v>2559</v>
      </c>
      <c r="J6" s="211">
        <v>230</v>
      </c>
    </row>
    <row r="7" spans="5:10" ht="75.75" thickBot="1" x14ac:dyDescent="0.3">
      <c r="E7" s="212" t="b">
        <v>0</v>
      </c>
      <c r="F7" s="216"/>
      <c r="G7" s="208" t="s">
        <v>2557</v>
      </c>
      <c r="H7" s="208" t="s">
        <v>2565</v>
      </c>
      <c r="I7" s="208" t="s">
        <v>2566</v>
      </c>
      <c r="J7" s="211">
        <v>210</v>
      </c>
    </row>
    <row r="8" spans="5:10" ht="75.75" thickBot="1" x14ac:dyDescent="0.3">
      <c r="E8" s="212" t="b">
        <v>0</v>
      </c>
      <c r="F8" s="216"/>
      <c r="G8" s="208" t="s">
        <v>2576</v>
      </c>
      <c r="H8" s="208" t="s">
        <v>2577</v>
      </c>
      <c r="I8" s="208" t="s">
        <v>2578</v>
      </c>
      <c r="J8" s="211">
        <v>300</v>
      </c>
    </row>
    <row r="9" spans="5:10" ht="75.75" thickBot="1" x14ac:dyDescent="0.3">
      <c r="E9" s="212" t="b">
        <v>1</v>
      </c>
      <c r="F9" s="216"/>
      <c r="G9" s="208" t="s">
        <v>2567</v>
      </c>
      <c r="H9" s="208" t="s">
        <v>2568</v>
      </c>
      <c r="I9" s="208" t="s">
        <v>2562</v>
      </c>
      <c r="J9" s="211">
        <v>230</v>
      </c>
    </row>
    <row r="10" spans="5:10" ht="75.75" thickBot="1" x14ac:dyDescent="0.3">
      <c r="E10" s="212" t="b">
        <v>0</v>
      </c>
      <c r="F10" s="216"/>
      <c r="G10" s="208" t="s">
        <v>2569</v>
      </c>
      <c r="H10" s="208" t="s">
        <v>2570</v>
      </c>
      <c r="I10" s="208" t="s">
        <v>2559</v>
      </c>
      <c r="J10" s="211">
        <v>250</v>
      </c>
    </row>
    <row r="11" spans="5:10" ht="90.75" thickBot="1" x14ac:dyDescent="0.3">
      <c r="E11" s="212" t="b">
        <v>1</v>
      </c>
      <c r="F11" s="216"/>
      <c r="G11" s="208" t="s">
        <v>2560</v>
      </c>
      <c r="H11" s="208" t="s">
        <v>2571</v>
      </c>
      <c r="I11" s="208" t="s">
        <v>2572</v>
      </c>
      <c r="J11" s="211">
        <v>230</v>
      </c>
    </row>
    <row r="12" spans="5:10" ht="105.75" thickBot="1" x14ac:dyDescent="0.3">
      <c r="E12" s="212" t="b">
        <v>0</v>
      </c>
      <c r="F12" s="216"/>
      <c r="G12" s="208" t="s">
        <v>2563</v>
      </c>
      <c r="H12" s="208" t="s">
        <v>2573</v>
      </c>
      <c r="I12" s="208" t="s">
        <v>2566</v>
      </c>
      <c r="J12" s="211">
        <v>500</v>
      </c>
    </row>
    <row r="13" spans="5:10" ht="105.75" thickBot="1" x14ac:dyDescent="0.3">
      <c r="E13" s="212" t="b">
        <v>1</v>
      </c>
      <c r="F13" s="216"/>
      <c r="G13" s="208" t="s">
        <v>2567</v>
      </c>
      <c r="H13" s="208" t="s">
        <v>2574</v>
      </c>
      <c r="I13" s="208" t="s">
        <v>2562</v>
      </c>
      <c r="J13" s="211">
        <v>150</v>
      </c>
    </row>
    <row r="14" spans="5:10" ht="90.75" thickBot="1" x14ac:dyDescent="0.3">
      <c r="E14" s="212" t="b">
        <v>0</v>
      </c>
      <c r="F14" s="216"/>
      <c r="G14" s="208" t="s">
        <v>2569</v>
      </c>
      <c r="H14" s="208" t="s">
        <v>2575</v>
      </c>
      <c r="I14" s="208" t="s">
        <v>2559</v>
      </c>
      <c r="J14" s="211">
        <v>200</v>
      </c>
    </row>
    <row r="15" spans="5:10" ht="16.5" thickBot="1" x14ac:dyDescent="0.3">
      <c r="E15" s="209" t="s">
        <v>1736</v>
      </c>
      <c r="F15" s="210"/>
      <c r="G15" s="210">
        <f>COUNTIF(E4:E14,TRUE)</f>
        <v>5</v>
      </c>
      <c r="H15" s="210"/>
      <c r="I15" s="210"/>
      <c r="J15" s="211">
        <f>SUMIF($E$4:$E$14,TRUE,$J$4:$J$14)</f>
        <v>1060</v>
      </c>
    </row>
    <row r="16" spans="5:10" ht="15.75" thickTop="1" x14ac:dyDescent="0.25"/>
    <row r="23" spans="5:17" x14ac:dyDescent="0.25">
      <c r="E23" s="220" t="s">
        <v>2579</v>
      </c>
      <c r="F23" s="221" t="s">
        <v>2581</v>
      </c>
      <c r="G23" s="221" t="s">
        <v>2580</v>
      </c>
      <c r="H23" s="222" t="s">
        <v>2582</v>
      </c>
      <c r="J23" s="226" t="str">
        <f>RESULT[[#Headers],[Stu_ID]]</f>
        <v>Stu_ID</v>
      </c>
      <c r="K23" s="226" t="str">
        <f>RESULT[[#Headers],[Stu_Name]]</f>
        <v>Stu_Name</v>
      </c>
      <c r="N23" s="231" t="s">
        <v>2623</v>
      </c>
      <c r="O23" s="231" t="s">
        <v>2624</v>
      </c>
    </row>
    <row r="24" spans="5:17" x14ac:dyDescent="0.25">
      <c r="E24" s="218" t="s">
        <v>2578</v>
      </c>
      <c r="F24" s="217" t="s">
        <v>2592</v>
      </c>
      <c r="G24" s="217">
        <f t="shared" ref="G24:G33" ca="1" si="0">RANDBETWEEN(10,100)</f>
        <v>38</v>
      </c>
      <c r="H24" s="219">
        <v>1</v>
      </c>
      <c r="J24" s="227">
        <f>K28</f>
        <v>1</v>
      </c>
      <c r="K24" s="174" t="str">
        <f>IFERROR(INDEX(RESULT[Stu_Name],MATCH(J24,RESULT[Stu_ID],0)),"NOT FOUND.")</f>
        <v>Atanu Roy</v>
      </c>
      <c r="N24" s="232">
        <f>COUNTIF(RESULT[Gender],"M")</f>
        <v>8</v>
      </c>
      <c r="O24" s="232">
        <f>COUNTIF(RESULT[Gender],"F")</f>
        <v>6</v>
      </c>
      <c r="Q24" t="s">
        <v>2626</v>
      </c>
    </row>
    <row r="25" spans="5:17" x14ac:dyDescent="0.25">
      <c r="E25" s="218" t="s">
        <v>2583</v>
      </c>
      <c r="F25" s="217" t="s">
        <v>2593</v>
      </c>
      <c r="G25" s="217">
        <f t="shared" ca="1" si="0"/>
        <v>70</v>
      </c>
      <c r="H25" s="219">
        <v>2</v>
      </c>
    </row>
    <row r="26" spans="5:17" x14ac:dyDescent="0.25">
      <c r="E26" s="218" t="s">
        <v>2584</v>
      </c>
      <c r="F26" s="217" t="s">
        <v>2592</v>
      </c>
      <c r="G26" s="217">
        <f t="shared" ca="1" si="0"/>
        <v>30</v>
      </c>
      <c r="H26" s="219">
        <v>3</v>
      </c>
    </row>
    <row r="27" spans="5:17" x14ac:dyDescent="0.25">
      <c r="E27" s="218" t="s">
        <v>2585</v>
      </c>
      <c r="F27" s="217" t="s">
        <v>2593</v>
      </c>
      <c r="G27" s="217">
        <f t="shared" ca="1" si="0"/>
        <v>99</v>
      </c>
      <c r="H27" s="219">
        <v>4</v>
      </c>
      <c r="K27" s="144" t="s">
        <v>2582</v>
      </c>
      <c r="L27" s="144" t="s">
        <v>2579</v>
      </c>
    </row>
    <row r="28" spans="5:17" x14ac:dyDescent="0.25">
      <c r="E28" s="218" t="s">
        <v>2586</v>
      </c>
      <c r="F28" s="217" t="s">
        <v>2593</v>
      </c>
      <c r="G28" s="217">
        <f t="shared" ca="1" si="0"/>
        <v>48</v>
      </c>
      <c r="H28" s="219">
        <v>5</v>
      </c>
      <c r="K28" s="144">
        <f>J32</f>
        <v>1</v>
      </c>
      <c r="L28" s="144" t="str">
        <f>IFERROR(VLOOKUP(K28,CHOOSE({1,2},RESULT[Stu_ID],RESULT[Stu_Name]),2,0),"NOT FOUND")</f>
        <v>Atanu Roy</v>
      </c>
    </row>
    <row r="29" spans="5:17" x14ac:dyDescent="0.25">
      <c r="E29" s="218" t="s">
        <v>2587</v>
      </c>
      <c r="F29" s="217" t="s">
        <v>2592</v>
      </c>
      <c r="G29" s="217">
        <f t="shared" ca="1" si="0"/>
        <v>83</v>
      </c>
      <c r="H29" s="219">
        <v>6</v>
      </c>
    </row>
    <row r="30" spans="5:17" x14ac:dyDescent="0.25">
      <c r="E30" s="218" t="s">
        <v>2588</v>
      </c>
      <c r="F30" s="217" t="s">
        <v>2592</v>
      </c>
      <c r="G30" s="217">
        <f t="shared" ca="1" si="0"/>
        <v>42</v>
      </c>
      <c r="H30" s="219">
        <v>7</v>
      </c>
    </row>
    <row r="31" spans="5:17" x14ac:dyDescent="0.25">
      <c r="E31" s="218" t="s">
        <v>2589</v>
      </c>
      <c r="F31" s="217" t="s">
        <v>2592</v>
      </c>
      <c r="G31" s="217">
        <f t="shared" ca="1" si="0"/>
        <v>35</v>
      </c>
      <c r="H31" s="219">
        <v>8</v>
      </c>
      <c r="J31" s="144" t="s">
        <v>2582</v>
      </c>
      <c r="K31" s="144" t="s">
        <v>2579</v>
      </c>
      <c r="L31" s="144" t="s">
        <v>2597</v>
      </c>
    </row>
    <row r="32" spans="5:17" x14ac:dyDescent="0.25">
      <c r="E32" s="218" t="s">
        <v>2590</v>
      </c>
      <c r="F32" s="217" t="s">
        <v>2592</v>
      </c>
      <c r="G32" s="217">
        <f t="shared" ca="1" si="0"/>
        <v>61</v>
      </c>
      <c r="H32" s="219">
        <v>9</v>
      </c>
      <c r="J32" s="144">
        <v>1</v>
      </c>
      <c r="K32" s="144" t="str">
        <f>IFERROR(VLOOKUP(J32,CHOOSE({1,2},RESULT[Stu_ID],RESULT[Stu_Name]),2,0),"NOT FOUND")</f>
        <v>Atanu Roy</v>
      </c>
      <c r="L32" s="144">
        <f t="array" aca="1" ref="L32" ca="1">IFERROR(VLOOKUP(J32&amp;K32,CHOOSE({1,2},RESULT[Stu_ID]&amp;RESULT[Stu_Name],RESULT[Marks]),2,0),"NOT FOUND")</f>
        <v>38</v>
      </c>
    </row>
    <row r="33" spans="3:18" x14ac:dyDescent="0.25">
      <c r="E33" s="223" t="s">
        <v>2591</v>
      </c>
      <c r="F33" s="224" t="s">
        <v>2593</v>
      </c>
      <c r="G33" s="224">
        <f t="shared" ca="1" si="0"/>
        <v>35</v>
      </c>
      <c r="H33" s="225">
        <v>10</v>
      </c>
    </row>
    <row r="34" spans="3:18" x14ac:dyDescent="0.25">
      <c r="E34" s="223" t="s">
        <v>2594</v>
      </c>
      <c r="F34" s="217" t="s">
        <v>2592</v>
      </c>
      <c r="G34" s="217">
        <f ca="1">RANDBETWEEN(10,100)</f>
        <v>25</v>
      </c>
      <c r="H34" s="225">
        <v>11</v>
      </c>
    </row>
    <row r="35" spans="3:18" x14ac:dyDescent="0.25">
      <c r="E35" s="223" t="s">
        <v>2595</v>
      </c>
      <c r="F35" s="217" t="s">
        <v>2592</v>
      </c>
      <c r="G35" s="217">
        <f ca="1">RANDBETWEEN(10,100)</f>
        <v>61</v>
      </c>
      <c r="H35" s="225">
        <v>12</v>
      </c>
    </row>
    <row r="36" spans="3:18" x14ac:dyDescent="0.25">
      <c r="E36" s="223" t="s">
        <v>2596</v>
      </c>
      <c r="F36" s="217" t="s">
        <v>2593</v>
      </c>
      <c r="G36" s="217">
        <f ca="1">RANDBETWEEN(10,100)</f>
        <v>49</v>
      </c>
      <c r="H36" s="225">
        <v>13</v>
      </c>
    </row>
    <row r="37" spans="3:18" x14ac:dyDescent="0.25">
      <c r="E37" s="223" t="s">
        <v>2625</v>
      </c>
      <c r="F37" s="217" t="s">
        <v>2593</v>
      </c>
      <c r="G37" s="224">
        <f ca="1">RANDBETWEEN(10,100)</f>
        <v>73</v>
      </c>
      <c r="H37" s="225">
        <v>14</v>
      </c>
    </row>
    <row r="40" spans="3:18" x14ac:dyDescent="0.25">
      <c r="C40" s="228" t="s">
        <v>2598</v>
      </c>
      <c r="D40" s="228" t="s">
        <v>2599</v>
      </c>
      <c r="E40" s="228" t="s">
        <v>2600</v>
      </c>
      <c r="F40" s="228" t="s">
        <v>2601</v>
      </c>
      <c r="G40" s="228" t="s">
        <v>2602</v>
      </c>
      <c r="H40" s="228" t="s">
        <v>2603</v>
      </c>
      <c r="I40" s="228" t="s">
        <v>2604</v>
      </c>
      <c r="J40" s="228" t="s">
        <v>2605</v>
      </c>
      <c r="K40" s="228" t="s">
        <v>2606</v>
      </c>
      <c r="L40" s="228" t="s">
        <v>2607</v>
      </c>
      <c r="M40" s="228" t="s">
        <v>2608</v>
      </c>
      <c r="N40" s="228" t="s">
        <v>2609</v>
      </c>
      <c r="O40" s="228" t="s">
        <v>2610</v>
      </c>
      <c r="Q40" s="230" t="s">
        <v>2621</v>
      </c>
      <c r="R40" s="85">
        <f t="array" aca="1" ref="R40" ca="1">SUM(LARGE($D$41:$O$51,{1,2,3,4,5}))</f>
        <v>4885</v>
      </c>
    </row>
    <row r="41" spans="3:18" x14ac:dyDescent="0.25">
      <c r="C41" s="229" t="s">
        <v>1745</v>
      </c>
      <c r="D41" s="229">
        <f t="shared" ref="D41:O51" ca="1" si="1">RANDBETWEEN(20,1000)</f>
        <v>416</v>
      </c>
      <c r="E41" s="229">
        <f t="shared" ca="1" si="1"/>
        <v>680</v>
      </c>
      <c r="F41" s="229">
        <f t="shared" ca="1" si="1"/>
        <v>280</v>
      </c>
      <c r="G41" s="229">
        <f t="shared" ca="1" si="1"/>
        <v>143</v>
      </c>
      <c r="H41" s="229">
        <f t="shared" ca="1" si="1"/>
        <v>707</v>
      </c>
      <c r="I41" s="229">
        <f t="shared" ca="1" si="1"/>
        <v>243</v>
      </c>
      <c r="J41" s="229">
        <f t="shared" ca="1" si="1"/>
        <v>306</v>
      </c>
      <c r="K41" s="229">
        <f t="shared" ca="1" si="1"/>
        <v>672</v>
      </c>
      <c r="L41" s="229">
        <f t="shared" ca="1" si="1"/>
        <v>264</v>
      </c>
      <c r="M41" s="229">
        <f t="shared" ca="1" si="1"/>
        <v>600</v>
      </c>
      <c r="N41" s="229">
        <f t="shared" ca="1" si="1"/>
        <v>213</v>
      </c>
      <c r="O41" s="229">
        <f t="shared" ca="1" si="1"/>
        <v>161</v>
      </c>
      <c r="Q41" s="230" t="s">
        <v>2622</v>
      </c>
      <c r="R41" s="85">
        <f ca="1">SUM(SMALL($D$41:$O$51,{1,2,3,4,5}))</f>
        <v>190</v>
      </c>
    </row>
    <row r="42" spans="3:18" x14ac:dyDescent="0.25">
      <c r="C42" s="229" t="s">
        <v>2611</v>
      </c>
      <c r="D42" s="229">
        <f t="shared" ca="1" si="1"/>
        <v>80</v>
      </c>
      <c r="E42" s="229">
        <f t="shared" ca="1" si="1"/>
        <v>445</v>
      </c>
      <c r="F42" s="229">
        <f t="shared" ca="1" si="1"/>
        <v>71</v>
      </c>
      <c r="G42" s="229">
        <f t="shared" ca="1" si="1"/>
        <v>295</v>
      </c>
      <c r="H42" s="229">
        <f t="shared" ca="1" si="1"/>
        <v>895</v>
      </c>
      <c r="I42" s="229">
        <f t="shared" ca="1" si="1"/>
        <v>573</v>
      </c>
      <c r="J42" s="229">
        <f t="shared" ca="1" si="1"/>
        <v>717</v>
      </c>
      <c r="K42" s="229">
        <f t="shared" ca="1" si="1"/>
        <v>31</v>
      </c>
      <c r="L42" s="229">
        <f t="shared" ca="1" si="1"/>
        <v>134</v>
      </c>
      <c r="M42" s="229">
        <f t="shared" ca="1" si="1"/>
        <v>814</v>
      </c>
      <c r="N42" s="229">
        <f t="shared" ca="1" si="1"/>
        <v>998</v>
      </c>
      <c r="O42" s="229">
        <f t="shared" ca="1" si="1"/>
        <v>978</v>
      </c>
    </row>
    <row r="43" spans="3:18" x14ac:dyDescent="0.25">
      <c r="C43" s="229" t="s">
        <v>2612</v>
      </c>
      <c r="D43" s="229">
        <f t="shared" ca="1" si="1"/>
        <v>711</v>
      </c>
      <c r="E43" s="229">
        <f t="shared" ca="1" si="1"/>
        <v>317</v>
      </c>
      <c r="F43" s="229">
        <f t="shared" ca="1" si="1"/>
        <v>752</v>
      </c>
      <c r="G43" s="229">
        <f t="shared" ca="1" si="1"/>
        <v>427</v>
      </c>
      <c r="H43" s="229">
        <f t="shared" ca="1" si="1"/>
        <v>688</v>
      </c>
      <c r="I43" s="229">
        <f t="shared" ca="1" si="1"/>
        <v>828</v>
      </c>
      <c r="J43" s="229">
        <f t="shared" ca="1" si="1"/>
        <v>720</v>
      </c>
      <c r="K43" s="229">
        <f t="shared" ca="1" si="1"/>
        <v>976</v>
      </c>
      <c r="L43" s="229">
        <f t="shared" ca="1" si="1"/>
        <v>474</v>
      </c>
      <c r="M43" s="229">
        <f t="shared" ca="1" si="1"/>
        <v>835</v>
      </c>
      <c r="N43" s="229">
        <f t="shared" ca="1" si="1"/>
        <v>883</v>
      </c>
      <c r="O43" s="229">
        <f t="shared" ca="1" si="1"/>
        <v>906</v>
      </c>
    </row>
    <row r="44" spans="3:18" x14ac:dyDescent="0.25">
      <c r="C44" s="229" t="s">
        <v>2613</v>
      </c>
      <c r="D44" s="229">
        <f t="shared" ca="1" si="1"/>
        <v>110</v>
      </c>
      <c r="E44" s="229">
        <f t="shared" ca="1" si="1"/>
        <v>275</v>
      </c>
      <c r="F44" s="229">
        <f t="shared" ca="1" si="1"/>
        <v>739</v>
      </c>
      <c r="G44" s="229">
        <f t="shared" ca="1" si="1"/>
        <v>955</v>
      </c>
      <c r="H44" s="229">
        <f t="shared" ca="1" si="1"/>
        <v>380</v>
      </c>
      <c r="I44" s="229">
        <f t="shared" ca="1" si="1"/>
        <v>624</v>
      </c>
      <c r="J44" s="229">
        <f t="shared" ca="1" si="1"/>
        <v>207</v>
      </c>
      <c r="K44" s="229">
        <f t="shared" ca="1" si="1"/>
        <v>587</v>
      </c>
      <c r="L44" s="229">
        <f t="shared" ca="1" si="1"/>
        <v>819</v>
      </c>
      <c r="M44" s="229">
        <f t="shared" ca="1" si="1"/>
        <v>939</v>
      </c>
      <c r="N44" s="229">
        <f t="shared" ca="1" si="1"/>
        <v>193</v>
      </c>
      <c r="O44" s="229">
        <f t="shared" ca="1" si="1"/>
        <v>230</v>
      </c>
    </row>
    <row r="45" spans="3:18" x14ac:dyDescent="0.25">
      <c r="C45" s="229" t="s">
        <v>2614</v>
      </c>
      <c r="D45" s="229">
        <f t="shared" ca="1" si="1"/>
        <v>362</v>
      </c>
      <c r="E45" s="229">
        <f t="shared" ca="1" si="1"/>
        <v>878</v>
      </c>
      <c r="F45" s="229">
        <f t="shared" ca="1" si="1"/>
        <v>569</v>
      </c>
      <c r="G45" s="229">
        <f t="shared" ca="1" si="1"/>
        <v>916</v>
      </c>
      <c r="H45" s="229">
        <f t="shared" ca="1" si="1"/>
        <v>32</v>
      </c>
      <c r="I45" s="229">
        <f t="shared" ca="1" si="1"/>
        <v>369</v>
      </c>
      <c r="J45" s="229">
        <f t="shared" ca="1" si="1"/>
        <v>487</v>
      </c>
      <c r="K45" s="229">
        <f t="shared" ca="1" si="1"/>
        <v>762</v>
      </c>
      <c r="L45" s="229">
        <f t="shared" ca="1" si="1"/>
        <v>131</v>
      </c>
      <c r="M45" s="229">
        <f t="shared" ca="1" si="1"/>
        <v>945</v>
      </c>
      <c r="N45" s="229">
        <f t="shared" ca="1" si="1"/>
        <v>443</v>
      </c>
      <c r="O45" s="229">
        <f t="shared" ca="1" si="1"/>
        <v>721</v>
      </c>
    </row>
    <row r="46" spans="3:18" x14ac:dyDescent="0.25">
      <c r="C46" s="229" t="s">
        <v>2615</v>
      </c>
      <c r="D46" s="229">
        <f t="shared" ca="1" si="1"/>
        <v>261</v>
      </c>
      <c r="E46" s="229">
        <f t="shared" ca="1" si="1"/>
        <v>964</v>
      </c>
      <c r="F46" s="229">
        <f t="shared" ca="1" si="1"/>
        <v>613</v>
      </c>
      <c r="G46" s="229">
        <f t="shared" ca="1" si="1"/>
        <v>609</v>
      </c>
      <c r="H46" s="229">
        <f t="shared" ca="1" si="1"/>
        <v>205</v>
      </c>
      <c r="I46" s="229">
        <f t="shared" ca="1" si="1"/>
        <v>810</v>
      </c>
      <c r="J46" s="229">
        <f t="shared" ca="1" si="1"/>
        <v>912</v>
      </c>
      <c r="K46" s="229">
        <f t="shared" ca="1" si="1"/>
        <v>485</v>
      </c>
      <c r="L46" s="229">
        <f t="shared" ca="1" si="1"/>
        <v>577</v>
      </c>
      <c r="M46" s="229">
        <f t="shared" ca="1" si="1"/>
        <v>253</v>
      </c>
      <c r="N46" s="229">
        <f t="shared" ca="1" si="1"/>
        <v>61</v>
      </c>
      <c r="O46" s="229">
        <f t="shared" ca="1" si="1"/>
        <v>702</v>
      </c>
    </row>
    <row r="47" spans="3:18" x14ac:dyDescent="0.25">
      <c r="C47" s="229" t="s">
        <v>2616</v>
      </c>
      <c r="D47" s="229">
        <f t="shared" ca="1" si="1"/>
        <v>213</v>
      </c>
      <c r="E47" s="229">
        <f t="shared" ca="1" si="1"/>
        <v>481</v>
      </c>
      <c r="F47" s="229">
        <f t="shared" ca="1" si="1"/>
        <v>330</v>
      </c>
      <c r="G47" s="229">
        <f t="shared" ca="1" si="1"/>
        <v>53</v>
      </c>
      <c r="H47" s="229">
        <f t="shared" ca="1" si="1"/>
        <v>33</v>
      </c>
      <c r="I47" s="229">
        <f t="shared" ca="1" si="1"/>
        <v>575</v>
      </c>
      <c r="J47" s="229">
        <f t="shared" ca="1" si="1"/>
        <v>487</v>
      </c>
      <c r="K47" s="229">
        <f t="shared" ca="1" si="1"/>
        <v>723</v>
      </c>
      <c r="L47" s="229">
        <f t="shared" ca="1" si="1"/>
        <v>955</v>
      </c>
      <c r="M47" s="229">
        <f t="shared" ca="1" si="1"/>
        <v>279</v>
      </c>
      <c r="N47" s="229">
        <f t="shared" ca="1" si="1"/>
        <v>183</v>
      </c>
      <c r="O47" s="229">
        <f t="shared" ca="1" si="1"/>
        <v>188</v>
      </c>
    </row>
    <row r="48" spans="3:18" x14ac:dyDescent="0.25">
      <c r="C48" s="229" t="s">
        <v>2617</v>
      </c>
      <c r="D48" s="229">
        <f t="shared" ca="1" si="1"/>
        <v>82</v>
      </c>
      <c r="E48" s="229">
        <f t="shared" ca="1" si="1"/>
        <v>744</v>
      </c>
      <c r="F48" s="229">
        <f t="shared" ca="1" si="1"/>
        <v>872</v>
      </c>
      <c r="G48" s="229">
        <f t="shared" ca="1" si="1"/>
        <v>862</v>
      </c>
      <c r="H48" s="229">
        <f t="shared" ca="1" si="1"/>
        <v>106</v>
      </c>
      <c r="I48" s="229">
        <f t="shared" ca="1" si="1"/>
        <v>41</v>
      </c>
      <c r="J48" s="229">
        <f t="shared" ca="1" si="1"/>
        <v>157</v>
      </c>
      <c r="K48" s="229">
        <f t="shared" ca="1" si="1"/>
        <v>969</v>
      </c>
      <c r="L48" s="229">
        <f t="shared" ca="1" si="1"/>
        <v>938</v>
      </c>
      <c r="M48" s="229">
        <f t="shared" ca="1" si="1"/>
        <v>321</v>
      </c>
      <c r="N48" s="229">
        <f t="shared" ca="1" si="1"/>
        <v>180</v>
      </c>
      <c r="O48" s="229">
        <f t="shared" ca="1" si="1"/>
        <v>538</v>
      </c>
    </row>
    <row r="49" spans="3:15" x14ac:dyDescent="0.25">
      <c r="C49" s="229" t="s">
        <v>2618</v>
      </c>
      <c r="D49" s="229">
        <f t="shared" ca="1" si="1"/>
        <v>73</v>
      </c>
      <c r="E49" s="229">
        <f t="shared" ca="1" si="1"/>
        <v>798</v>
      </c>
      <c r="F49" s="229">
        <f t="shared" ca="1" si="1"/>
        <v>805</v>
      </c>
      <c r="G49" s="229">
        <f t="shared" ca="1" si="1"/>
        <v>406</v>
      </c>
      <c r="H49" s="229">
        <f t="shared" ca="1" si="1"/>
        <v>497</v>
      </c>
      <c r="I49" s="229">
        <f t="shared" ca="1" si="1"/>
        <v>445</v>
      </c>
      <c r="J49" s="229">
        <f t="shared" ca="1" si="1"/>
        <v>881</v>
      </c>
      <c r="K49" s="229">
        <f t="shared" ca="1" si="1"/>
        <v>144</v>
      </c>
      <c r="L49" s="229">
        <f t="shared" ca="1" si="1"/>
        <v>729</v>
      </c>
      <c r="M49" s="229">
        <f t="shared" ca="1" si="1"/>
        <v>502</v>
      </c>
      <c r="N49" s="229">
        <f t="shared" ca="1" si="1"/>
        <v>222</v>
      </c>
      <c r="O49" s="229">
        <f t="shared" ca="1" si="1"/>
        <v>829</v>
      </c>
    </row>
    <row r="50" spans="3:15" x14ac:dyDescent="0.25">
      <c r="C50" s="229" t="s">
        <v>2619</v>
      </c>
      <c r="D50" s="229">
        <f t="shared" ca="1" si="1"/>
        <v>415</v>
      </c>
      <c r="E50" s="229">
        <f t="shared" ca="1" si="1"/>
        <v>879</v>
      </c>
      <c r="F50" s="229">
        <f t="shared" ca="1" si="1"/>
        <v>492</v>
      </c>
      <c r="G50" s="229">
        <f t="shared" ca="1" si="1"/>
        <v>621</v>
      </c>
      <c r="H50" s="229">
        <f t="shared" ca="1" si="1"/>
        <v>446</v>
      </c>
      <c r="I50" s="229">
        <f t="shared" ca="1" si="1"/>
        <v>464</v>
      </c>
      <c r="J50" s="229">
        <f t="shared" ca="1" si="1"/>
        <v>260</v>
      </c>
      <c r="K50" s="229">
        <f t="shared" ca="1" si="1"/>
        <v>425</v>
      </c>
      <c r="L50" s="229">
        <f t="shared" ca="1" si="1"/>
        <v>696</v>
      </c>
      <c r="M50" s="229">
        <f t="shared" ca="1" si="1"/>
        <v>437</v>
      </c>
      <c r="N50" s="229">
        <f t="shared" ca="1" si="1"/>
        <v>615</v>
      </c>
      <c r="O50" s="229">
        <f t="shared" ca="1" si="1"/>
        <v>815</v>
      </c>
    </row>
    <row r="51" spans="3:15" x14ac:dyDescent="0.25">
      <c r="C51" s="229" t="s">
        <v>2620</v>
      </c>
      <c r="D51" s="229">
        <f t="shared" ca="1" si="1"/>
        <v>201</v>
      </c>
      <c r="E51" s="229">
        <f t="shared" ca="1" si="1"/>
        <v>874</v>
      </c>
      <c r="F51" s="229">
        <f t="shared" ca="1" si="1"/>
        <v>503</v>
      </c>
      <c r="G51" s="229">
        <f t="shared" ca="1" si="1"/>
        <v>800</v>
      </c>
      <c r="H51" s="229">
        <f t="shared" ca="1" si="1"/>
        <v>841</v>
      </c>
      <c r="I51" s="229">
        <f t="shared" ca="1" si="1"/>
        <v>690</v>
      </c>
      <c r="J51" s="229">
        <f t="shared" ca="1" si="1"/>
        <v>330</v>
      </c>
      <c r="K51" s="229">
        <f t="shared" ca="1" si="1"/>
        <v>320</v>
      </c>
      <c r="L51" s="229">
        <f t="shared" ca="1" si="1"/>
        <v>356</v>
      </c>
      <c r="M51" s="229">
        <f t="shared" ca="1" si="1"/>
        <v>690</v>
      </c>
      <c r="N51" s="229">
        <f t="shared" ca="1" si="1"/>
        <v>160</v>
      </c>
      <c r="O51" s="229">
        <f t="shared" ca="1" si="1"/>
        <v>442</v>
      </c>
    </row>
  </sheetData>
  <conditionalFormatting sqref="E4:J14">
    <cfRule type="expression" dxfId="25" priority="5">
      <formula>$E4=TRUE</formula>
    </cfRule>
  </conditionalFormatting>
  <conditionalFormatting sqref="J15">
    <cfRule type="expression" dxfId="24" priority="4">
      <formula>$E15=TRUE</formula>
    </cfRule>
  </conditionalFormatting>
  <conditionalFormatting sqref="E24:H37">
    <cfRule type="expression" dxfId="23" priority="3">
      <formula>AND($K$32=$E24,$J$32=$H24)</formula>
    </cfRule>
  </conditionalFormatting>
  <conditionalFormatting sqref="D41:O51">
    <cfRule type="top10" dxfId="22" priority="2" rank="5"/>
    <cfRule type="top10" dxfId="21" priority="1" bottom="1" rank="5"/>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Check Box 1">
              <controlPr defaultSize="0" autoFill="0" autoLine="0" autoPict="0">
                <anchor moveWithCells="1">
                  <from>
                    <xdr:col>4</xdr:col>
                    <xdr:colOff>323850</xdr:colOff>
                    <xdr:row>3</xdr:row>
                    <xdr:rowOff>95250</xdr:rowOff>
                  </from>
                  <to>
                    <xdr:col>4</xdr:col>
                    <xdr:colOff>609600</xdr:colOff>
                    <xdr:row>3</xdr:row>
                    <xdr:rowOff>295275</xdr:rowOff>
                  </to>
                </anchor>
              </controlPr>
            </control>
          </mc:Choice>
        </mc:AlternateContent>
        <mc:AlternateContent xmlns:mc="http://schemas.openxmlformats.org/markup-compatibility/2006">
          <mc:Choice Requires="x14">
            <control shapeId="23564" r:id="rId4" name="Check Box 12">
              <controlPr defaultSize="0" autoFill="0" autoLine="0" autoPict="0">
                <anchor moveWithCells="1">
                  <from>
                    <xdr:col>4</xdr:col>
                    <xdr:colOff>323850</xdr:colOff>
                    <xdr:row>4</xdr:row>
                    <xdr:rowOff>95250</xdr:rowOff>
                  </from>
                  <to>
                    <xdr:col>4</xdr:col>
                    <xdr:colOff>609600</xdr:colOff>
                    <xdr:row>4</xdr:row>
                    <xdr:rowOff>295275</xdr:rowOff>
                  </to>
                </anchor>
              </controlPr>
            </control>
          </mc:Choice>
        </mc:AlternateContent>
        <mc:AlternateContent xmlns:mc="http://schemas.openxmlformats.org/markup-compatibility/2006">
          <mc:Choice Requires="x14">
            <control shapeId="23565" r:id="rId5" name="Check Box 13">
              <controlPr defaultSize="0" autoFill="0" autoLine="0" autoPict="0">
                <anchor moveWithCells="1">
                  <from>
                    <xdr:col>4</xdr:col>
                    <xdr:colOff>323850</xdr:colOff>
                    <xdr:row>5</xdr:row>
                    <xdr:rowOff>95250</xdr:rowOff>
                  </from>
                  <to>
                    <xdr:col>4</xdr:col>
                    <xdr:colOff>609600</xdr:colOff>
                    <xdr:row>5</xdr:row>
                    <xdr:rowOff>295275</xdr:rowOff>
                  </to>
                </anchor>
              </controlPr>
            </control>
          </mc:Choice>
        </mc:AlternateContent>
        <mc:AlternateContent xmlns:mc="http://schemas.openxmlformats.org/markup-compatibility/2006">
          <mc:Choice Requires="x14">
            <control shapeId="23566" r:id="rId6" name="Check Box 14">
              <controlPr defaultSize="0" autoFill="0" autoLine="0" autoPict="0">
                <anchor moveWithCells="1">
                  <from>
                    <xdr:col>4</xdr:col>
                    <xdr:colOff>323850</xdr:colOff>
                    <xdr:row>6</xdr:row>
                    <xdr:rowOff>95250</xdr:rowOff>
                  </from>
                  <to>
                    <xdr:col>4</xdr:col>
                    <xdr:colOff>609600</xdr:colOff>
                    <xdr:row>6</xdr:row>
                    <xdr:rowOff>295275</xdr:rowOff>
                  </to>
                </anchor>
              </controlPr>
            </control>
          </mc:Choice>
        </mc:AlternateContent>
        <mc:AlternateContent xmlns:mc="http://schemas.openxmlformats.org/markup-compatibility/2006">
          <mc:Choice Requires="x14">
            <control shapeId="23567" r:id="rId7" name="Check Box 15">
              <controlPr defaultSize="0" autoFill="0" autoLine="0" autoPict="0">
                <anchor moveWithCells="1">
                  <from>
                    <xdr:col>4</xdr:col>
                    <xdr:colOff>304800</xdr:colOff>
                    <xdr:row>7</xdr:row>
                    <xdr:rowOff>381000</xdr:rowOff>
                  </from>
                  <to>
                    <xdr:col>4</xdr:col>
                    <xdr:colOff>590550</xdr:colOff>
                    <xdr:row>8</xdr:row>
                    <xdr:rowOff>190500</xdr:rowOff>
                  </to>
                </anchor>
              </controlPr>
            </control>
          </mc:Choice>
        </mc:AlternateContent>
        <mc:AlternateContent xmlns:mc="http://schemas.openxmlformats.org/markup-compatibility/2006">
          <mc:Choice Requires="x14">
            <control shapeId="23568" r:id="rId8" name="Check Box 16">
              <controlPr defaultSize="0" autoFill="0" autoLine="0" autoPict="0">
                <anchor moveWithCells="1">
                  <from>
                    <xdr:col>4</xdr:col>
                    <xdr:colOff>295275</xdr:colOff>
                    <xdr:row>7</xdr:row>
                    <xdr:rowOff>85725</xdr:rowOff>
                  </from>
                  <to>
                    <xdr:col>4</xdr:col>
                    <xdr:colOff>581025</xdr:colOff>
                    <xdr:row>7</xdr:row>
                    <xdr:rowOff>285750</xdr:rowOff>
                  </to>
                </anchor>
              </controlPr>
            </control>
          </mc:Choice>
        </mc:AlternateContent>
        <mc:AlternateContent xmlns:mc="http://schemas.openxmlformats.org/markup-compatibility/2006">
          <mc:Choice Requires="x14">
            <control shapeId="23569" r:id="rId9" name="Check Box 17">
              <controlPr defaultSize="0" autoFill="0" autoLine="0" autoPict="0">
                <anchor moveWithCells="1">
                  <from>
                    <xdr:col>4</xdr:col>
                    <xdr:colOff>323850</xdr:colOff>
                    <xdr:row>10</xdr:row>
                    <xdr:rowOff>95250</xdr:rowOff>
                  </from>
                  <to>
                    <xdr:col>4</xdr:col>
                    <xdr:colOff>609600</xdr:colOff>
                    <xdr:row>10</xdr:row>
                    <xdr:rowOff>295275</xdr:rowOff>
                  </to>
                </anchor>
              </controlPr>
            </control>
          </mc:Choice>
        </mc:AlternateContent>
        <mc:AlternateContent xmlns:mc="http://schemas.openxmlformats.org/markup-compatibility/2006">
          <mc:Choice Requires="x14">
            <control shapeId="23570" r:id="rId10" name="Check Box 18">
              <controlPr defaultSize="0" autoFill="0" autoLine="0" autoPict="0">
                <anchor moveWithCells="1">
                  <from>
                    <xdr:col>4</xdr:col>
                    <xdr:colOff>323850</xdr:colOff>
                    <xdr:row>11</xdr:row>
                    <xdr:rowOff>95250</xdr:rowOff>
                  </from>
                  <to>
                    <xdr:col>4</xdr:col>
                    <xdr:colOff>609600</xdr:colOff>
                    <xdr:row>11</xdr:row>
                    <xdr:rowOff>285750</xdr:rowOff>
                  </to>
                </anchor>
              </controlPr>
            </control>
          </mc:Choice>
        </mc:AlternateContent>
        <mc:AlternateContent xmlns:mc="http://schemas.openxmlformats.org/markup-compatibility/2006">
          <mc:Choice Requires="x14">
            <control shapeId="23571" r:id="rId11" name="Check Box 19">
              <controlPr defaultSize="0" autoFill="0" autoLine="0" autoPict="0">
                <anchor moveWithCells="1">
                  <from>
                    <xdr:col>4</xdr:col>
                    <xdr:colOff>323850</xdr:colOff>
                    <xdr:row>12</xdr:row>
                    <xdr:rowOff>95250</xdr:rowOff>
                  </from>
                  <to>
                    <xdr:col>4</xdr:col>
                    <xdr:colOff>609600</xdr:colOff>
                    <xdr:row>12</xdr:row>
                    <xdr:rowOff>295275</xdr:rowOff>
                  </to>
                </anchor>
              </controlPr>
            </control>
          </mc:Choice>
        </mc:AlternateContent>
        <mc:AlternateContent xmlns:mc="http://schemas.openxmlformats.org/markup-compatibility/2006">
          <mc:Choice Requires="x14">
            <control shapeId="23572" r:id="rId12" name="Check Box 20">
              <controlPr defaultSize="0" autoFill="0" autoLine="0" autoPict="0">
                <anchor moveWithCells="1">
                  <from>
                    <xdr:col>4</xdr:col>
                    <xdr:colOff>323850</xdr:colOff>
                    <xdr:row>13</xdr:row>
                    <xdr:rowOff>95250</xdr:rowOff>
                  </from>
                  <to>
                    <xdr:col>4</xdr:col>
                    <xdr:colOff>609600</xdr:colOff>
                    <xdr:row>13</xdr:row>
                    <xdr:rowOff>295275</xdr:rowOff>
                  </to>
                </anchor>
              </controlPr>
            </control>
          </mc:Choice>
        </mc:AlternateContent>
        <mc:AlternateContent xmlns:mc="http://schemas.openxmlformats.org/markup-compatibility/2006">
          <mc:Choice Requires="x14">
            <control shapeId="23573" r:id="rId13" name="Check Box 21">
              <controlPr defaultSize="0" autoFill="0" autoLine="0" autoPict="0">
                <anchor moveWithCells="1">
                  <from>
                    <xdr:col>4</xdr:col>
                    <xdr:colOff>323850</xdr:colOff>
                    <xdr:row>9</xdr:row>
                    <xdr:rowOff>104775</xdr:rowOff>
                  </from>
                  <to>
                    <xdr:col>4</xdr:col>
                    <xdr:colOff>609600</xdr:colOff>
                    <xdr:row>9</xdr:row>
                    <xdr:rowOff>304800</xdr:rowOff>
                  </to>
                </anchor>
              </controlPr>
            </control>
          </mc:Choice>
        </mc:AlternateContent>
      </controls>
    </mc:Choice>
  </mc:AlternateContent>
  <tableParts count="1">
    <tablePart r:id="rId1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DDC7-321F-4EAC-A3EC-96E9FD8FB2B5}">
  <sheetPr codeName="Sheet23"/>
  <dimension ref="A1:H17"/>
  <sheetViews>
    <sheetView showGridLines="0" tabSelected="1" workbookViewId="0">
      <selection activeCell="K10" sqref="K10"/>
    </sheetView>
  </sheetViews>
  <sheetFormatPr defaultRowHeight="15" x14ac:dyDescent="0.25"/>
  <sheetData>
    <row r="1" spans="1:8" ht="17.25" x14ac:dyDescent="0.25">
      <c r="A1" s="248" t="s">
        <v>2627</v>
      </c>
      <c r="B1" s="249" t="s">
        <v>1800</v>
      </c>
      <c r="C1" s="249" t="s">
        <v>1801</v>
      </c>
      <c r="D1" s="249" t="s">
        <v>1802</v>
      </c>
      <c r="E1" s="249" t="s">
        <v>1803</v>
      </c>
      <c r="F1" s="249" t="s">
        <v>1804</v>
      </c>
      <c r="G1" s="249" t="s">
        <v>1805</v>
      </c>
      <c r="H1" s="250" t="s">
        <v>1806</v>
      </c>
    </row>
    <row r="2" spans="1:8" x14ac:dyDescent="0.25">
      <c r="A2" s="94" t="s">
        <v>1813</v>
      </c>
      <c r="B2" s="86">
        <v>252</v>
      </c>
      <c r="C2" s="86">
        <v>293</v>
      </c>
      <c r="D2" s="86">
        <v>164</v>
      </c>
      <c r="E2" s="86">
        <v>146</v>
      </c>
      <c r="F2" s="86">
        <v>250</v>
      </c>
      <c r="G2" s="86">
        <v>377</v>
      </c>
      <c r="H2" s="251">
        <v>256</v>
      </c>
    </row>
    <row r="3" spans="1:8" x14ac:dyDescent="0.25">
      <c r="A3" s="94" t="s">
        <v>2628</v>
      </c>
      <c r="B3" s="86">
        <v>489</v>
      </c>
      <c r="C3" s="86">
        <v>391</v>
      </c>
      <c r="D3" s="86">
        <v>133</v>
      </c>
      <c r="E3" s="86">
        <v>277</v>
      </c>
      <c r="F3" s="86">
        <v>444</v>
      </c>
      <c r="G3" s="86">
        <v>360</v>
      </c>
      <c r="H3" s="251">
        <v>188</v>
      </c>
    </row>
    <row r="4" spans="1:8" x14ac:dyDescent="0.25">
      <c r="A4" s="94" t="s">
        <v>2629</v>
      </c>
      <c r="B4" s="86">
        <v>174</v>
      </c>
      <c r="C4" s="86">
        <v>431</v>
      </c>
      <c r="D4" s="86">
        <v>469</v>
      </c>
      <c r="E4" s="86">
        <v>336</v>
      </c>
      <c r="F4" s="86">
        <v>131</v>
      </c>
      <c r="G4" s="86">
        <v>465</v>
      </c>
      <c r="H4" s="251">
        <v>494</v>
      </c>
    </row>
    <row r="5" spans="1:8" x14ac:dyDescent="0.25">
      <c r="A5" s="94" t="s">
        <v>2630</v>
      </c>
      <c r="B5" s="86">
        <v>323</v>
      </c>
      <c r="C5" s="86">
        <v>135</v>
      </c>
      <c r="D5" s="86">
        <v>335</v>
      </c>
      <c r="E5" s="86">
        <v>155</v>
      </c>
      <c r="F5" s="86">
        <v>178</v>
      </c>
      <c r="G5" s="86">
        <v>441</v>
      </c>
      <c r="H5" s="251">
        <v>176</v>
      </c>
    </row>
    <row r="6" spans="1:8" x14ac:dyDescent="0.25">
      <c r="A6" s="94" t="s">
        <v>2631</v>
      </c>
      <c r="B6" s="86">
        <v>216</v>
      </c>
      <c r="C6" s="86">
        <v>285</v>
      </c>
      <c r="D6" s="86">
        <v>186</v>
      </c>
      <c r="E6" s="86">
        <v>467</v>
      </c>
      <c r="F6" s="86">
        <v>140</v>
      </c>
      <c r="G6" s="86">
        <v>413</v>
      </c>
      <c r="H6" s="251">
        <v>301</v>
      </c>
    </row>
    <row r="7" spans="1:8" x14ac:dyDescent="0.25">
      <c r="A7" s="94" t="s">
        <v>1819</v>
      </c>
      <c r="B7" s="86">
        <v>305</v>
      </c>
      <c r="C7" s="86">
        <v>300</v>
      </c>
      <c r="D7" s="86">
        <v>478</v>
      </c>
      <c r="E7" s="86">
        <v>322</v>
      </c>
      <c r="F7" s="86">
        <v>486</v>
      </c>
      <c r="G7" s="86">
        <v>243</v>
      </c>
      <c r="H7" s="251">
        <v>399</v>
      </c>
    </row>
    <row r="8" spans="1:8" x14ac:dyDescent="0.25">
      <c r="A8" s="94" t="s">
        <v>2632</v>
      </c>
      <c r="B8" s="86">
        <v>167</v>
      </c>
      <c r="C8" s="86">
        <v>382</v>
      </c>
      <c r="D8" s="86">
        <v>417</v>
      </c>
      <c r="E8" s="86">
        <v>304</v>
      </c>
      <c r="F8" s="86">
        <v>306</v>
      </c>
      <c r="G8" s="86">
        <v>351</v>
      </c>
      <c r="H8" s="251">
        <v>328</v>
      </c>
    </row>
    <row r="9" spans="1:8" x14ac:dyDescent="0.25">
      <c r="A9" s="94" t="s">
        <v>2633</v>
      </c>
      <c r="B9" s="86">
        <v>115</v>
      </c>
      <c r="C9" s="86">
        <v>459</v>
      </c>
      <c r="D9" s="86">
        <v>190</v>
      </c>
      <c r="E9" s="86">
        <v>286</v>
      </c>
      <c r="F9" s="86">
        <v>255</v>
      </c>
      <c r="G9" s="86">
        <v>103</v>
      </c>
      <c r="H9" s="251">
        <v>120</v>
      </c>
    </row>
    <row r="10" spans="1:8" x14ac:dyDescent="0.25">
      <c r="A10" s="94" t="s">
        <v>2634</v>
      </c>
      <c r="B10" s="86">
        <v>418</v>
      </c>
      <c r="C10" s="86">
        <v>343</v>
      </c>
      <c r="D10" s="86">
        <v>135</v>
      </c>
      <c r="E10" s="86">
        <v>118</v>
      </c>
      <c r="F10" s="86">
        <v>437</v>
      </c>
      <c r="G10" s="86">
        <v>134</v>
      </c>
      <c r="H10" s="251">
        <v>435</v>
      </c>
    </row>
    <row r="11" spans="1:8" x14ac:dyDescent="0.25">
      <c r="A11" s="94" t="s">
        <v>1816</v>
      </c>
      <c r="B11" s="86">
        <v>177</v>
      </c>
      <c r="C11" s="86">
        <v>216</v>
      </c>
      <c r="D11" s="86">
        <v>175</v>
      </c>
      <c r="E11" s="86">
        <v>110</v>
      </c>
      <c r="F11" s="86">
        <v>196</v>
      </c>
      <c r="G11" s="86">
        <v>134</v>
      </c>
      <c r="H11" s="251">
        <v>327</v>
      </c>
    </row>
    <row r="12" spans="1:8" x14ac:dyDescent="0.25">
      <c r="A12" s="94" t="s">
        <v>2635</v>
      </c>
      <c r="B12" s="86">
        <v>434</v>
      </c>
      <c r="C12" s="86">
        <v>119</v>
      </c>
      <c r="D12" s="86">
        <v>499</v>
      </c>
      <c r="E12" s="86">
        <v>280</v>
      </c>
      <c r="F12" s="86">
        <v>270</v>
      </c>
      <c r="G12" s="86">
        <v>468</v>
      </c>
      <c r="H12" s="251">
        <v>166</v>
      </c>
    </row>
    <row r="13" spans="1:8" x14ac:dyDescent="0.25">
      <c r="A13" s="94" t="s">
        <v>2636</v>
      </c>
      <c r="B13" s="86">
        <v>231</v>
      </c>
      <c r="C13" s="86">
        <v>180</v>
      </c>
      <c r="D13" s="86">
        <v>401</v>
      </c>
      <c r="E13" s="86">
        <v>203</v>
      </c>
      <c r="F13" s="86">
        <v>414</v>
      </c>
      <c r="G13" s="86">
        <v>122</v>
      </c>
      <c r="H13" s="251">
        <v>228</v>
      </c>
    </row>
    <row r="14" spans="1:8" x14ac:dyDescent="0.25">
      <c r="A14" s="94" t="s">
        <v>2637</v>
      </c>
      <c r="B14" s="86">
        <v>339</v>
      </c>
      <c r="C14" s="86">
        <v>283</v>
      </c>
      <c r="D14" s="86">
        <v>399</v>
      </c>
      <c r="E14" s="86">
        <v>391</v>
      </c>
      <c r="F14" s="86">
        <v>166</v>
      </c>
      <c r="G14" s="86">
        <v>143</v>
      </c>
      <c r="H14" s="251">
        <v>496</v>
      </c>
    </row>
    <row r="15" spans="1:8" x14ac:dyDescent="0.25">
      <c r="A15" s="94" t="s">
        <v>2638</v>
      </c>
      <c r="B15" s="86">
        <v>275</v>
      </c>
      <c r="C15" s="86">
        <v>301</v>
      </c>
      <c r="D15" s="86">
        <v>342</v>
      </c>
      <c r="E15" s="86">
        <v>458</v>
      </c>
      <c r="F15" s="86">
        <v>343</v>
      </c>
      <c r="G15" s="86">
        <v>330</v>
      </c>
      <c r="H15" s="251">
        <v>375</v>
      </c>
    </row>
    <row r="16" spans="1:8" x14ac:dyDescent="0.25">
      <c r="A16" s="94" t="s">
        <v>2639</v>
      </c>
      <c r="B16" s="86">
        <v>323</v>
      </c>
      <c r="C16" s="86">
        <v>157</v>
      </c>
      <c r="D16" s="86">
        <v>412</v>
      </c>
      <c r="E16" s="86">
        <v>284</v>
      </c>
      <c r="F16" s="86">
        <v>461</v>
      </c>
      <c r="G16" s="86">
        <v>389</v>
      </c>
      <c r="H16" s="251">
        <v>368</v>
      </c>
    </row>
    <row r="17" spans="1:8" x14ac:dyDescent="0.25">
      <c r="A17" s="99" t="s">
        <v>2640</v>
      </c>
      <c r="B17" s="100">
        <v>264</v>
      </c>
      <c r="C17" s="100">
        <v>314</v>
      </c>
      <c r="D17" s="100">
        <v>264</v>
      </c>
      <c r="E17" s="100">
        <v>353</v>
      </c>
      <c r="F17" s="100">
        <v>310</v>
      </c>
      <c r="G17" s="100">
        <v>220</v>
      </c>
      <c r="H17" s="252">
        <v>332</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29E29C-D09B-4D94-A66F-3FF360AB6E0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Sheet1</vt:lpstr>
      <vt:lpstr>Sheet2</vt:lpstr>
      <vt:lpstr>Sheet3</vt:lpstr>
      <vt:lpstr>Sheet4</vt:lpstr>
      <vt:lpstr>Sheet5</vt:lpstr>
      <vt:lpstr>Sheet6</vt:lpstr>
      <vt:lpstr>Sheet7</vt:lpstr>
      <vt:lpstr>DATA ENTRY FORM</vt:lpstr>
      <vt:lpstr>DATABASE</vt:lpstr>
      <vt:lpstr>BATTERY PERCENTAGE</vt:lpstr>
      <vt:lpstr>Sheet8</vt:lpstr>
      <vt:lpstr>Sheet9</vt:lpstr>
      <vt:lpstr>Sheet10</vt:lpstr>
      <vt:lpstr>Bill Entry Form</vt:lpstr>
      <vt:lpstr>Sheet12</vt:lpstr>
      <vt:lpstr>Sheet17</vt:lpstr>
      <vt:lpstr>Sheet16</vt:lpstr>
      <vt:lpstr>Sheet15</vt:lpstr>
      <vt:lpstr>Sheet14</vt:lpstr>
      <vt:lpstr>Sheet18</vt:lpstr>
      <vt:lpstr>Sheet13</vt:lpstr>
      <vt:lpstr>Sheet11</vt:lpstr>
      <vt:lpstr>Sheet19</vt:lpstr>
      <vt:lpstr>Customer_ID</vt:lpstr>
      <vt:lpstr>Customer_Name</vt:lpstr>
      <vt:lpstr>Location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2023-05-05T13:51:38Z</dcterms:created>
  <dcterms:modified xsi:type="dcterms:W3CDTF">2023-09-29T10:19:26Z</dcterms:modified>
</cp:coreProperties>
</file>